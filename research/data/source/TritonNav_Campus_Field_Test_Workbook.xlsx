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iegocordova/Desktop/"/>
    </mc:Choice>
  </mc:AlternateContent>
  <xr:revisionPtr revIDLastSave="0" documentId="8_{DB295BC9-8E25-124C-A772-F1408710A5C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ield Trials" sheetId="1" r:id="rId1"/>
    <sheet name="Route Catalog" sheetId="2" r:id="rId2"/>
    <sheet name="Issue Log" sheetId="3" r:id="rId3"/>
    <sheet name="Research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5" i="4"/>
  <c r="B4" i="4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5" i="1"/>
  <c r="K4" i="1"/>
  <c r="K2" i="1"/>
  <c r="B7" i="4" l="1"/>
  <c r="B6" i="4"/>
</calcChain>
</file>

<file path=xl/sharedStrings.xml><?xml version="1.0" encoding="utf-8"?>
<sst xmlns="http://schemas.openxmlformats.org/spreadsheetml/2006/main" count="517" uniqueCount="132">
  <si>
    <t>Trial ID</t>
  </si>
  <si>
    <t>Date</t>
  </si>
  <si>
    <t>Tester ID</t>
  </si>
  <si>
    <t>Route ID</t>
  </si>
  <si>
    <t>Start</t>
  </si>
  <si>
    <t>Destination</t>
  </si>
  <si>
    <t>Network</t>
  </si>
  <si>
    <t>Device / iOS</t>
  </si>
  <si>
    <t>Start time</t>
  </si>
  <si>
    <t>End time</t>
  </si>
  <si>
    <t>Actual minutes</t>
  </si>
  <si>
    <t>Valhalla ETA (min)</t>
  </si>
  <si>
    <t>Valhalla distance (m)</t>
  </si>
  <si>
    <t>Actual distance (m)</t>
  </si>
  <si>
    <t>Completed?</t>
  </si>
  <si>
    <t>GPS accuracy (m)</t>
  </si>
  <si>
    <t>Wrong turns</t>
  </si>
  <si>
    <t>Entrance correct?</t>
  </si>
  <si>
    <t>Route line visible?</t>
  </si>
  <si>
    <t>Map loaded?</t>
  </si>
  <si>
    <t>Issues / observations</t>
  </si>
  <si>
    <t>Screenshot reference</t>
  </si>
  <si>
    <t>App version / commit</t>
  </si>
  <si>
    <t>Route type</t>
  </si>
  <si>
    <t>Stairs / slope</t>
  </si>
  <si>
    <t>Entrances to verify</t>
  </si>
  <si>
    <t>Accessibility data status</t>
  </si>
  <si>
    <t>Priority</t>
  </si>
  <si>
    <t>Notes</t>
  </si>
  <si>
    <t>Verified on</t>
  </si>
  <si>
    <t>R01</t>
  </si>
  <si>
    <t>Geisel Library</t>
  </si>
  <si>
    <t>Price Center</t>
  </si>
  <si>
    <t>Central campus</t>
  </si>
  <si>
    <t>Check on site</t>
  </si>
  <si>
    <t>Both endpoints</t>
  </si>
  <si>
    <t>Provisional</t>
  </si>
  <si>
    <t>High</t>
  </si>
  <si>
    <t>Baseline repeat route</t>
  </si>
  <si>
    <t>R02</t>
  </si>
  <si>
    <t>Mandeville Center</t>
  </si>
  <si>
    <t>Sixth College</t>
  </si>
  <si>
    <t>Cross-campus</t>
  </si>
  <si>
    <t>Longer navigation comparison</t>
  </si>
  <si>
    <t>R03</t>
  </si>
  <si>
    <t>Warren College</t>
  </si>
  <si>
    <t>Medium</t>
  </si>
  <si>
    <t>Assess hill and crossing behavior</t>
  </si>
  <si>
    <t>R04</t>
  </si>
  <si>
    <t>Revelle College</t>
  </si>
  <si>
    <t>Assess distance and GPS drift</t>
  </si>
  <si>
    <t>R05</t>
  </si>
  <si>
    <t>Marshall College</t>
  </si>
  <si>
    <t>Seventh College</t>
  </si>
  <si>
    <t>College-to-college</t>
  </si>
  <si>
    <t>Verify actual walking access</t>
  </si>
  <si>
    <t>R06</t>
  </si>
  <si>
    <t>Eighth College</t>
  </si>
  <si>
    <t>Assess longer route and slope</t>
  </si>
  <si>
    <t>Issue ID</t>
  </si>
  <si>
    <t>Area</t>
  </si>
  <si>
    <t>Severity</t>
  </si>
  <si>
    <t>Description</t>
  </si>
  <si>
    <t>Reproduction steps</t>
  </si>
  <si>
    <t>Status</t>
  </si>
  <si>
    <t>Screenshot / video</t>
  </si>
  <si>
    <t>Fix / retest notes</t>
  </si>
  <si>
    <t>TRITONNAV / FIELD STUDY DASHBOARD</t>
  </si>
  <si>
    <t>Metric</t>
  </si>
  <si>
    <t>Value</t>
  </si>
  <si>
    <t>Total trials</t>
  </si>
  <si>
    <t>Completed trials</t>
  </si>
  <si>
    <t>Completion rate</t>
  </si>
  <si>
    <t>Average actual minutes</t>
  </si>
  <si>
    <t>Average Valhalla ETA (min)</t>
  </si>
  <si>
    <t>Logged issues</t>
  </si>
  <si>
    <t>RESEARCH NOTES</t>
  </si>
  <si>
    <t>Record every attempt, including failed trials.</t>
  </si>
  <si>
    <t>Use anonymous tester IDs; do not record names or precise personal location traces.</t>
  </si>
  <si>
    <t>Route Catalog entries are suggested tests, not verified accessibility routes.</t>
  </si>
  <si>
    <t>Diego</t>
  </si>
  <si>
    <t>warr lect hall</t>
  </si>
  <si>
    <t>fah</t>
  </si>
  <si>
    <t>Hotspot</t>
  </si>
  <si>
    <t>DIB</t>
  </si>
  <si>
    <t>Warren lecture hall</t>
  </si>
  <si>
    <t>UCSD Wi-Fi</t>
  </si>
  <si>
    <t>Iphone</t>
  </si>
  <si>
    <t>Goldberg hall</t>
  </si>
  <si>
    <t>goldberg hall</t>
  </si>
  <si>
    <t>FAH</t>
  </si>
  <si>
    <t>Target</t>
  </si>
  <si>
    <t>Bird Rock Coffee</t>
  </si>
  <si>
    <t>915ft</t>
  </si>
  <si>
    <t>Yes</t>
  </si>
  <si>
    <t>914ft</t>
  </si>
  <si>
    <t>584ft</t>
  </si>
  <si>
    <t>Not tested</t>
  </si>
  <si>
    <t>yy</t>
  </si>
  <si>
    <t>applied physics and mathematics</t>
  </si>
  <si>
    <t>galbraith hall</t>
  </si>
  <si>
    <t>0.4m</t>
  </si>
  <si>
    <t>MAIN gym</t>
  </si>
  <si>
    <t>CSB building</t>
  </si>
  <si>
    <t>RIMAC</t>
  </si>
  <si>
    <t>marshall college</t>
  </si>
  <si>
    <t>N/A</t>
  </si>
  <si>
    <t>No</t>
  </si>
  <si>
    <t>no route, returns college diagram</t>
  </si>
  <si>
    <t>Mac</t>
  </si>
  <si>
    <t>Seventh College Housing</t>
  </si>
  <si>
    <t>no route, returns nothing</t>
  </si>
  <si>
    <t>mac</t>
  </si>
  <si>
    <t>seventh college housing</t>
  </si>
  <si>
    <t>1,273ft</t>
  </si>
  <si>
    <t>Student Health and Wellness Center</t>
  </si>
  <si>
    <t>619ft</t>
  </si>
  <si>
    <t>Mosaic Hall</t>
  </si>
  <si>
    <t>1,020ft</t>
  </si>
  <si>
    <t>catalyst</t>
  </si>
  <si>
    <t>207ft</t>
  </si>
  <si>
    <t>peterson hall</t>
  </si>
  <si>
    <t>1,138ft</t>
  </si>
  <si>
    <t>sixth market</t>
  </si>
  <si>
    <t>not accurate</t>
  </si>
  <si>
    <t>it depicts sixth market as being next to DIB, WRONG</t>
  </si>
  <si>
    <t>center hall</t>
  </si>
  <si>
    <t>pepper canyon hall</t>
  </si>
  <si>
    <t xml:space="preserve"> it depits PCH at bonner hall</t>
  </si>
  <si>
    <t>MANDE</t>
  </si>
  <si>
    <t>778ft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</si>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</sst>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yyyy\-mm\-dd"/>
    <numFmt numFmtId="166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02B4E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02B4E"/>
      </patternFill>
    </fill>
    <fill>
      <patternFill patternType="solid">
        <fgColor rgb="FFDCE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166" fontId="0" fillId="0" borderId="0" xfId="0" applyNumberFormat="1"/>
    <xf numFmtId="0" fontId="2" fillId="3" borderId="0" xfId="0" applyFont="1" applyFill="1"/>
    <xf numFmtId="20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zoomScale="50" workbookViewId="0">
      <selection activeCell="A39" sqref="A39"/>
    </sheetView>
  </sheetViews>
  <sheetFormatPr baseColWidth="10" defaultColWidth="8.83203125" defaultRowHeight="15"/>
  <cols>
    <col min="1" max="20" width="19" customWidth="1"/>
    <col min="21" max="21" width="38" customWidth="1"/>
    <col min="22" max="22" width="28" customWidth="1"/>
    <col min="23" max="23" width="19" customWidth="1"/>
  </cols>
  <sheetData>
    <row r="1" spans="1:23" ht="45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>
        <v>1</v>
      </c>
      <c r="B2" s="5">
        <v>46294</v>
      </c>
      <c r="C2" t="s">
        <v>80</v>
      </c>
      <c r="D2">
        <v>1</v>
      </c>
      <c r="E2" t="s">
        <v>81</v>
      </c>
      <c r="F2" t="s">
        <v>82</v>
      </c>
      <c r="G2" t="s">
        <v>83</v>
      </c>
      <c r="H2" t="s">
        <v>87</v>
      </c>
      <c r="I2" s="4">
        <v>0.31527777777777777</v>
      </c>
      <c r="J2" s="4">
        <v>0.3215277777777778</v>
      </c>
      <c r="K2">
        <f t="shared" ref="K2:K65" si="0">IF(OR(I2="",J2=""),"",MOD(J2-I2,1)*1440)</f>
        <v>9.000000000000048</v>
      </c>
      <c r="L2">
        <v>9</v>
      </c>
      <c r="O2" t="s">
        <v>94</v>
      </c>
      <c r="Q2">
        <v>0</v>
      </c>
      <c r="R2" t="s">
        <v>94</v>
      </c>
      <c r="S2" t="s">
        <v>94</v>
      </c>
      <c r="T2" t="s">
        <v>94</v>
      </c>
    </row>
    <row r="3" spans="1:23">
      <c r="A3">
        <v>2</v>
      </c>
      <c r="B3" s="5">
        <v>46294</v>
      </c>
      <c r="C3" t="s">
        <v>80</v>
      </c>
      <c r="D3">
        <v>2</v>
      </c>
      <c r="E3" t="s">
        <v>84</v>
      </c>
      <c r="F3" t="s">
        <v>85</v>
      </c>
      <c r="G3" t="s">
        <v>86</v>
      </c>
      <c r="H3" t="s">
        <v>87</v>
      </c>
      <c r="I3" s="4">
        <v>0.33333333333333331</v>
      </c>
      <c r="J3" s="4">
        <v>0.33611111111111114</v>
      </c>
      <c r="K3">
        <v>3</v>
      </c>
      <c r="L3" s="9">
        <v>3</v>
      </c>
      <c r="M3" t="s">
        <v>93</v>
      </c>
      <c r="N3">
        <v>0.15</v>
      </c>
      <c r="O3" t="s">
        <v>94</v>
      </c>
      <c r="Q3">
        <v>0</v>
      </c>
      <c r="R3" t="s">
        <v>94</v>
      </c>
      <c r="S3" t="s">
        <v>94</v>
      </c>
      <c r="T3" t="s">
        <v>94</v>
      </c>
    </row>
    <row r="4" spans="1:23">
      <c r="A4">
        <v>3</v>
      </c>
      <c r="B4" s="5">
        <v>46294</v>
      </c>
      <c r="C4" t="s">
        <v>80</v>
      </c>
      <c r="D4">
        <v>3</v>
      </c>
      <c r="E4" t="s">
        <v>81</v>
      </c>
      <c r="F4" t="s">
        <v>84</v>
      </c>
      <c r="G4" t="s">
        <v>83</v>
      </c>
      <c r="H4" t="s">
        <v>87</v>
      </c>
      <c r="I4" s="4">
        <v>0.33750000000000002</v>
      </c>
      <c r="J4" s="4">
        <v>0.33958333333333335</v>
      </c>
      <c r="K4">
        <f t="shared" si="0"/>
        <v>2.9999999999999893</v>
      </c>
      <c r="L4">
        <v>3</v>
      </c>
      <c r="M4" t="s">
        <v>95</v>
      </c>
      <c r="N4">
        <v>0.15</v>
      </c>
      <c r="O4" t="s">
        <v>94</v>
      </c>
      <c r="Q4">
        <v>0</v>
      </c>
      <c r="R4" t="s">
        <v>94</v>
      </c>
      <c r="S4" t="s">
        <v>94</v>
      </c>
      <c r="T4" t="s">
        <v>94</v>
      </c>
    </row>
    <row r="5" spans="1:23">
      <c r="A5">
        <v>4</v>
      </c>
      <c r="B5" s="5">
        <v>46294</v>
      </c>
      <c r="C5" t="s">
        <v>80</v>
      </c>
      <c r="D5">
        <v>4</v>
      </c>
      <c r="E5" t="s">
        <v>81</v>
      </c>
      <c r="F5" t="s">
        <v>88</v>
      </c>
      <c r="G5" t="s">
        <v>83</v>
      </c>
      <c r="H5" t="s">
        <v>87</v>
      </c>
      <c r="I5" s="4">
        <v>0.34722222222222221</v>
      </c>
      <c r="J5" s="4">
        <v>0.34861111111111109</v>
      </c>
      <c r="K5">
        <f t="shared" si="0"/>
        <v>1.9999999999999929</v>
      </c>
      <c r="L5">
        <v>1</v>
      </c>
      <c r="M5" t="s">
        <v>96</v>
      </c>
      <c r="N5">
        <v>0.11</v>
      </c>
      <c r="O5" t="s">
        <v>94</v>
      </c>
      <c r="Q5">
        <v>0</v>
      </c>
      <c r="R5" t="s">
        <v>97</v>
      </c>
      <c r="S5" t="s">
        <v>94</v>
      </c>
      <c r="T5" t="s">
        <v>94</v>
      </c>
    </row>
    <row r="6" spans="1:23">
      <c r="A6">
        <v>5</v>
      </c>
      <c r="B6" s="5">
        <v>46294</v>
      </c>
      <c r="C6" t="s">
        <v>80</v>
      </c>
      <c r="D6">
        <v>5</v>
      </c>
      <c r="E6" t="s">
        <v>89</v>
      </c>
      <c r="F6" t="s">
        <v>90</v>
      </c>
      <c r="G6" t="s">
        <v>83</v>
      </c>
      <c r="H6" t="s">
        <v>87</v>
      </c>
      <c r="I6" s="4">
        <v>0.35069444444444442</v>
      </c>
      <c r="J6" s="4">
        <v>0.35138888888888886</v>
      </c>
      <c r="K6">
        <v>4</v>
      </c>
      <c r="L6">
        <v>5</v>
      </c>
      <c r="M6">
        <v>0.1</v>
      </c>
      <c r="N6">
        <v>0.1</v>
      </c>
      <c r="O6" t="s">
        <v>94</v>
      </c>
      <c r="Q6">
        <v>0</v>
      </c>
      <c r="R6" t="s">
        <v>97</v>
      </c>
      <c r="S6" t="s">
        <v>94</v>
      </c>
      <c r="T6" t="s">
        <v>94</v>
      </c>
    </row>
    <row r="7" spans="1:23">
      <c r="A7">
        <v>6</v>
      </c>
      <c r="B7" s="5">
        <v>46294</v>
      </c>
      <c r="C7" t="s">
        <v>80</v>
      </c>
      <c r="D7">
        <v>6</v>
      </c>
      <c r="E7" t="s">
        <v>90</v>
      </c>
      <c r="F7" t="s">
        <v>85</v>
      </c>
      <c r="G7" t="s">
        <v>83</v>
      </c>
      <c r="H7" t="s">
        <v>87</v>
      </c>
      <c r="I7" s="4">
        <v>0.35138888888888886</v>
      </c>
      <c r="J7" s="4">
        <v>0.35486111111111113</v>
      </c>
      <c r="K7">
        <v>5</v>
      </c>
      <c r="L7">
        <v>6</v>
      </c>
      <c r="M7">
        <v>0.3</v>
      </c>
      <c r="N7">
        <v>0.2</v>
      </c>
      <c r="O7" t="s">
        <v>94</v>
      </c>
      <c r="Q7">
        <v>0</v>
      </c>
      <c r="R7" t="s">
        <v>97</v>
      </c>
      <c r="S7" t="s">
        <v>94</v>
      </c>
      <c r="T7" t="s">
        <v>94</v>
      </c>
    </row>
    <row r="8" spans="1:23">
      <c r="A8">
        <v>7</v>
      </c>
      <c r="B8" s="5">
        <v>46294</v>
      </c>
      <c r="C8" t="s">
        <v>80</v>
      </c>
      <c r="D8">
        <v>7</v>
      </c>
      <c r="E8" t="s">
        <v>81</v>
      </c>
      <c r="F8" t="s">
        <v>31</v>
      </c>
      <c r="G8" t="s">
        <v>83</v>
      </c>
      <c r="H8" t="s">
        <v>87</v>
      </c>
      <c r="I8" s="4">
        <v>0.35486111111111113</v>
      </c>
      <c r="J8" s="4">
        <v>0.3576388888888889</v>
      </c>
      <c r="K8">
        <v>4</v>
      </c>
      <c r="L8">
        <v>5</v>
      </c>
      <c r="M8">
        <v>0.2</v>
      </c>
      <c r="N8">
        <v>0.2</v>
      </c>
      <c r="O8" t="s">
        <v>94</v>
      </c>
      <c r="Q8">
        <v>0</v>
      </c>
      <c r="R8" t="s">
        <v>98</v>
      </c>
      <c r="S8" t="s">
        <v>94</v>
      </c>
      <c r="T8" t="s">
        <v>94</v>
      </c>
    </row>
    <row r="9" spans="1:23">
      <c r="A9">
        <v>8</v>
      </c>
      <c r="B9" s="5">
        <v>46294</v>
      </c>
      <c r="C9" t="s">
        <v>80</v>
      </c>
      <c r="D9">
        <v>8</v>
      </c>
      <c r="E9" t="s">
        <v>31</v>
      </c>
      <c r="F9" t="s">
        <v>91</v>
      </c>
      <c r="G9" t="s">
        <v>83</v>
      </c>
      <c r="H9" t="s">
        <v>87</v>
      </c>
      <c r="I9" s="4">
        <v>0.3576388888888889</v>
      </c>
      <c r="J9" s="4">
        <v>0.36180555555555555</v>
      </c>
      <c r="K9">
        <v>4</v>
      </c>
      <c r="L9">
        <v>5</v>
      </c>
      <c r="M9">
        <v>0.2</v>
      </c>
      <c r="N9">
        <v>0.1</v>
      </c>
      <c r="O9" t="s">
        <v>94</v>
      </c>
      <c r="Q9">
        <v>1</v>
      </c>
      <c r="R9" t="s">
        <v>94</v>
      </c>
      <c r="S9" t="s">
        <v>94</v>
      </c>
      <c r="T9" t="s">
        <v>94</v>
      </c>
    </row>
    <row r="10" spans="1:23">
      <c r="A10">
        <v>9</v>
      </c>
      <c r="B10" s="5">
        <v>46294</v>
      </c>
      <c r="C10" t="s">
        <v>80</v>
      </c>
      <c r="D10">
        <v>9</v>
      </c>
      <c r="E10" t="s">
        <v>91</v>
      </c>
      <c r="F10" t="s">
        <v>92</v>
      </c>
      <c r="G10" t="s">
        <v>83</v>
      </c>
      <c r="H10" t="s">
        <v>87</v>
      </c>
      <c r="I10" s="4">
        <v>0.3611111111111111</v>
      </c>
      <c r="J10" s="4">
        <v>0.375</v>
      </c>
      <c r="K10">
        <v>20</v>
      </c>
      <c r="L10">
        <v>19</v>
      </c>
      <c r="M10">
        <v>0.3</v>
      </c>
      <c r="N10">
        <v>0.3</v>
      </c>
      <c r="O10" t="s">
        <v>94</v>
      </c>
      <c r="Q10">
        <v>1</v>
      </c>
      <c r="R10" t="s">
        <v>94</v>
      </c>
      <c r="S10" t="s">
        <v>94</v>
      </c>
      <c r="T10" t="s">
        <v>94</v>
      </c>
    </row>
    <row r="11" spans="1:23">
      <c r="A11">
        <v>10</v>
      </c>
      <c r="B11" s="5">
        <v>46294</v>
      </c>
      <c r="C11" t="s">
        <v>80</v>
      </c>
      <c r="D11">
        <v>10</v>
      </c>
      <c r="E11" t="s">
        <v>84</v>
      </c>
      <c r="F11" t="s">
        <v>99</v>
      </c>
      <c r="G11" t="s">
        <v>83</v>
      </c>
      <c r="H11" t="s">
        <v>87</v>
      </c>
      <c r="I11" s="4">
        <v>0.37569444444444444</v>
      </c>
      <c r="J11" s="4">
        <v>0.37916666666666665</v>
      </c>
      <c r="K11">
        <v>5</v>
      </c>
      <c r="L11">
        <v>6</v>
      </c>
      <c r="M11">
        <v>0.6</v>
      </c>
      <c r="N11">
        <v>0.6</v>
      </c>
      <c r="O11" t="s">
        <v>94</v>
      </c>
      <c r="Q11">
        <v>1</v>
      </c>
      <c r="R11" t="s">
        <v>94</v>
      </c>
      <c r="S11" t="s">
        <v>94</v>
      </c>
      <c r="T11" t="s">
        <v>94</v>
      </c>
    </row>
    <row r="12" spans="1:23">
      <c r="A12">
        <v>11</v>
      </c>
      <c r="B12" s="5">
        <v>46295</v>
      </c>
      <c r="C12" t="s">
        <v>80</v>
      </c>
      <c r="D12">
        <v>11</v>
      </c>
      <c r="E12" t="s">
        <v>99</v>
      </c>
      <c r="F12" t="s">
        <v>100</v>
      </c>
      <c r="G12" t="s">
        <v>86</v>
      </c>
      <c r="H12" t="s">
        <v>87</v>
      </c>
      <c r="I12" s="4">
        <v>0.37916666666666665</v>
      </c>
      <c r="J12" s="4">
        <v>0.38750000000000001</v>
      </c>
      <c r="K12">
        <v>12</v>
      </c>
      <c r="L12">
        <v>13</v>
      </c>
      <c r="M12">
        <v>0.6</v>
      </c>
      <c r="N12">
        <v>0.6</v>
      </c>
      <c r="O12" t="s">
        <v>94</v>
      </c>
      <c r="Q12">
        <v>1</v>
      </c>
      <c r="R12" t="s">
        <v>94</v>
      </c>
      <c r="S12" t="s">
        <v>94</v>
      </c>
      <c r="T12" t="s">
        <v>94</v>
      </c>
    </row>
    <row r="13" spans="1:23">
      <c r="A13">
        <v>12</v>
      </c>
      <c r="B13" s="5">
        <v>46295</v>
      </c>
      <c r="C13" t="s">
        <v>80</v>
      </c>
      <c r="D13">
        <v>12</v>
      </c>
      <c r="E13" t="s">
        <v>100</v>
      </c>
      <c r="F13" t="s">
        <v>102</v>
      </c>
      <c r="G13" t="s">
        <v>86</v>
      </c>
      <c r="H13" t="s">
        <v>87</v>
      </c>
      <c r="I13" s="4">
        <v>0.38750000000000001</v>
      </c>
      <c r="J13" s="4">
        <v>0.39305555555555555</v>
      </c>
      <c r="K13">
        <v>9</v>
      </c>
      <c r="L13">
        <v>11</v>
      </c>
      <c r="M13" t="s">
        <v>101</v>
      </c>
      <c r="N13">
        <v>0.3</v>
      </c>
      <c r="O13" t="s">
        <v>94</v>
      </c>
      <c r="Q13">
        <v>0</v>
      </c>
      <c r="R13" t="s">
        <v>94</v>
      </c>
      <c r="S13" t="s">
        <v>94</v>
      </c>
      <c r="T13" t="s">
        <v>94</v>
      </c>
    </row>
    <row r="14" spans="1:23">
      <c r="A14">
        <v>13</v>
      </c>
      <c r="B14" s="5">
        <v>46295</v>
      </c>
      <c r="C14" t="s">
        <v>80</v>
      </c>
      <c r="D14">
        <v>13</v>
      </c>
      <c r="E14" t="s">
        <v>102</v>
      </c>
      <c r="F14" t="s">
        <v>103</v>
      </c>
      <c r="G14" t="s">
        <v>86</v>
      </c>
      <c r="H14" t="s">
        <v>87</v>
      </c>
      <c r="I14" s="4">
        <v>0.39305555555555555</v>
      </c>
      <c r="J14" s="4">
        <v>0.3972222222222222</v>
      </c>
      <c r="K14">
        <v>5</v>
      </c>
      <c r="L14">
        <v>6</v>
      </c>
      <c r="M14">
        <v>0.3</v>
      </c>
      <c r="N14">
        <v>0.3</v>
      </c>
      <c r="O14" t="s">
        <v>94</v>
      </c>
      <c r="Q14">
        <v>0</v>
      </c>
      <c r="R14" t="s">
        <v>94</v>
      </c>
      <c r="S14" t="s">
        <v>94</v>
      </c>
      <c r="T14" t="s">
        <v>94</v>
      </c>
    </row>
    <row r="15" spans="1:23">
      <c r="A15">
        <v>14</v>
      </c>
      <c r="B15" s="5">
        <v>46295</v>
      </c>
      <c r="C15" t="s">
        <v>80</v>
      </c>
      <c r="D15">
        <v>14</v>
      </c>
      <c r="E15" t="s">
        <v>103</v>
      </c>
      <c r="F15" t="s">
        <v>105</v>
      </c>
      <c r="G15" t="s">
        <v>86</v>
      </c>
      <c r="H15" t="s">
        <v>109</v>
      </c>
      <c r="I15" s="4"/>
      <c r="J15" s="4"/>
      <c r="K15" t="s">
        <v>106</v>
      </c>
      <c r="L15" t="s">
        <v>106</v>
      </c>
      <c r="M15" t="s">
        <v>106</v>
      </c>
      <c r="N15" t="s">
        <v>106</v>
      </c>
      <c r="O15" t="s">
        <v>107</v>
      </c>
      <c r="Q15">
        <v>0</v>
      </c>
      <c r="R15" t="s">
        <v>106</v>
      </c>
      <c r="S15" t="s">
        <v>106</v>
      </c>
      <c r="T15" t="s">
        <v>94</v>
      </c>
      <c r="U15" t="s">
        <v>108</v>
      </c>
    </row>
    <row r="16" spans="1:23">
      <c r="A16">
        <v>15</v>
      </c>
      <c r="B16" s="5">
        <v>46295</v>
      </c>
      <c r="C16" t="s">
        <v>80</v>
      </c>
      <c r="D16">
        <v>15</v>
      </c>
      <c r="E16" t="s">
        <v>103</v>
      </c>
      <c r="F16" t="s">
        <v>104</v>
      </c>
      <c r="G16" t="s">
        <v>86</v>
      </c>
      <c r="H16" t="s">
        <v>112</v>
      </c>
      <c r="I16" s="4">
        <v>0.40277777777777779</v>
      </c>
      <c r="J16" s="4">
        <v>0.40833333333333333</v>
      </c>
      <c r="K16">
        <v>8</v>
      </c>
      <c r="L16">
        <v>9</v>
      </c>
      <c r="M16">
        <v>0.5</v>
      </c>
      <c r="N16">
        <v>0.5</v>
      </c>
      <c r="O16" t="s">
        <v>94</v>
      </c>
      <c r="Q16">
        <v>0</v>
      </c>
      <c r="R16" t="s">
        <v>94</v>
      </c>
      <c r="S16" t="s">
        <v>94</v>
      </c>
      <c r="T16" t="s">
        <v>94</v>
      </c>
    </row>
    <row r="17" spans="1:21">
      <c r="A17">
        <v>16</v>
      </c>
      <c r="B17" s="5">
        <v>46295</v>
      </c>
      <c r="C17" t="s">
        <v>80</v>
      </c>
      <c r="D17">
        <v>16</v>
      </c>
      <c r="E17" t="s">
        <v>104</v>
      </c>
      <c r="F17" t="s">
        <v>110</v>
      </c>
      <c r="G17" t="s">
        <v>86</v>
      </c>
      <c r="H17" t="s">
        <v>109</v>
      </c>
      <c r="I17" t="s">
        <v>106</v>
      </c>
      <c r="J17" t="s">
        <v>131</v>
      </c>
      <c r="K17" t="s">
        <v>106</v>
      </c>
      <c r="L17" t="s">
        <v>106</v>
      </c>
      <c r="M17" t="s">
        <v>106</v>
      </c>
      <c r="N17" t="s">
        <v>106</v>
      </c>
      <c r="O17" t="s">
        <v>107</v>
      </c>
      <c r="P17" s="1" t="s">
        <v>106</v>
      </c>
      <c r="Q17">
        <v>0</v>
      </c>
      <c r="R17" s="1" t="s">
        <v>106</v>
      </c>
      <c r="S17" t="s">
        <v>107</v>
      </c>
      <c r="T17" t="s">
        <v>107</v>
      </c>
      <c r="U17" t="s">
        <v>111</v>
      </c>
    </row>
    <row r="18" spans="1:21">
      <c r="A18">
        <v>17</v>
      </c>
      <c r="B18" s="6">
        <v>46295</v>
      </c>
      <c r="C18" t="s">
        <v>80</v>
      </c>
      <c r="D18">
        <v>17</v>
      </c>
      <c r="E18" t="s">
        <v>113</v>
      </c>
      <c r="F18" t="s">
        <v>104</v>
      </c>
      <c r="G18" t="s">
        <v>86</v>
      </c>
      <c r="H18" t="s">
        <v>87</v>
      </c>
      <c r="I18" s="4">
        <v>0.41666666666666669</v>
      </c>
      <c r="J18" s="4">
        <v>0.42222222222222222</v>
      </c>
      <c r="K18">
        <v>8</v>
      </c>
      <c r="L18">
        <v>9</v>
      </c>
      <c r="M18" t="s">
        <v>114</v>
      </c>
      <c r="N18">
        <v>0.2</v>
      </c>
      <c r="O18" t="s">
        <v>94</v>
      </c>
      <c r="Q18">
        <v>0</v>
      </c>
      <c r="R18" t="s">
        <v>94</v>
      </c>
      <c r="S18" t="s">
        <v>94</v>
      </c>
      <c r="T18" t="s">
        <v>94</v>
      </c>
    </row>
    <row r="19" spans="1:21">
      <c r="A19">
        <v>18</v>
      </c>
      <c r="B19" s="6">
        <v>46295</v>
      </c>
      <c r="C19" t="s">
        <v>80</v>
      </c>
      <c r="D19">
        <v>18</v>
      </c>
      <c r="E19" t="s">
        <v>104</v>
      </c>
      <c r="F19" t="s">
        <v>31</v>
      </c>
      <c r="G19" t="s">
        <v>86</v>
      </c>
      <c r="H19" t="s">
        <v>87</v>
      </c>
      <c r="I19" s="4">
        <v>0.42222222222222222</v>
      </c>
      <c r="J19" s="4">
        <v>0.42638888888888887</v>
      </c>
      <c r="K19">
        <v>6</v>
      </c>
      <c r="L19">
        <v>7</v>
      </c>
      <c r="M19" t="s">
        <v>101</v>
      </c>
      <c r="N19">
        <v>0.4</v>
      </c>
      <c r="O19" t="s">
        <v>94</v>
      </c>
      <c r="Q19">
        <v>0</v>
      </c>
      <c r="R19" t="s">
        <v>94</v>
      </c>
      <c r="S19" t="s">
        <v>94</v>
      </c>
      <c r="T19" t="s">
        <v>94</v>
      </c>
    </row>
    <row r="20" spans="1:21">
      <c r="A20">
        <v>19</v>
      </c>
      <c r="B20" s="6">
        <v>46295</v>
      </c>
      <c r="C20" t="s">
        <v>80</v>
      </c>
      <c r="D20">
        <v>19</v>
      </c>
      <c r="E20" t="s">
        <v>31</v>
      </c>
      <c r="F20" t="s">
        <v>103</v>
      </c>
      <c r="G20" t="s">
        <v>86</v>
      </c>
      <c r="H20" t="s">
        <v>87</v>
      </c>
      <c r="I20" s="4">
        <v>0.42638888888888887</v>
      </c>
      <c r="J20" s="4">
        <v>0.43194444444444446</v>
      </c>
      <c r="K20">
        <v>8</v>
      </c>
      <c r="L20">
        <v>10</v>
      </c>
      <c r="M20">
        <v>0.5</v>
      </c>
      <c r="N20">
        <v>0.5</v>
      </c>
      <c r="O20" t="s">
        <v>94</v>
      </c>
      <c r="Q20">
        <v>0</v>
      </c>
      <c r="R20" t="s">
        <v>94</v>
      </c>
      <c r="S20" t="s">
        <v>94</v>
      </c>
      <c r="T20" t="s">
        <v>94</v>
      </c>
    </row>
    <row r="21" spans="1:21">
      <c r="A21">
        <v>20</v>
      </c>
      <c r="B21" s="6">
        <v>46295</v>
      </c>
      <c r="C21" t="s">
        <v>80</v>
      </c>
      <c r="D21">
        <v>20</v>
      </c>
      <c r="E21" t="s">
        <v>103</v>
      </c>
      <c r="F21" t="s">
        <v>115</v>
      </c>
      <c r="G21" t="s">
        <v>86</v>
      </c>
      <c r="H21" t="s">
        <v>87</v>
      </c>
      <c r="I21" s="4">
        <v>0.43194444444444446</v>
      </c>
      <c r="J21" s="4">
        <v>0.43263888888888891</v>
      </c>
      <c r="K21">
        <v>2</v>
      </c>
      <c r="L21">
        <v>2</v>
      </c>
      <c r="M21" t="s">
        <v>116</v>
      </c>
      <c r="N21">
        <v>0.1</v>
      </c>
      <c r="O21" t="s">
        <v>94</v>
      </c>
      <c r="Q21">
        <v>0</v>
      </c>
      <c r="R21" t="s">
        <v>94</v>
      </c>
      <c r="S21" t="s">
        <v>94</v>
      </c>
      <c r="T21" t="s">
        <v>94</v>
      </c>
    </row>
    <row r="22" spans="1:21">
      <c r="A22">
        <v>21</v>
      </c>
      <c r="B22" s="6">
        <v>46295</v>
      </c>
      <c r="C22" t="s">
        <v>80</v>
      </c>
      <c r="D22">
        <v>21</v>
      </c>
      <c r="E22" t="s">
        <v>115</v>
      </c>
      <c r="F22" t="s">
        <v>117</v>
      </c>
      <c r="G22" t="s">
        <v>86</v>
      </c>
      <c r="H22" t="s">
        <v>87</v>
      </c>
      <c r="I22" s="4">
        <v>0.43263888888888891</v>
      </c>
      <c r="J22" s="4">
        <v>0.43472222222222223</v>
      </c>
      <c r="K22">
        <v>3</v>
      </c>
      <c r="L22">
        <v>4</v>
      </c>
      <c r="M22" t="s">
        <v>118</v>
      </c>
      <c r="N22">
        <v>0.1</v>
      </c>
      <c r="O22" t="s">
        <v>94</v>
      </c>
      <c r="Q22">
        <v>0</v>
      </c>
      <c r="R22" t="s">
        <v>94</v>
      </c>
      <c r="S22" t="s">
        <v>94</v>
      </c>
      <c r="T22" t="s">
        <v>94</v>
      </c>
    </row>
    <row r="23" spans="1:21">
      <c r="A23">
        <v>22</v>
      </c>
      <c r="B23" s="6">
        <v>46295</v>
      </c>
      <c r="C23" t="s">
        <v>80</v>
      </c>
      <c r="D23">
        <v>22</v>
      </c>
      <c r="E23" t="s">
        <v>117</v>
      </c>
      <c r="F23" t="s">
        <v>119</v>
      </c>
      <c r="G23" t="s">
        <v>86</v>
      </c>
      <c r="H23" t="s">
        <v>87</v>
      </c>
      <c r="I23" s="4">
        <v>0.43472222222222223</v>
      </c>
      <c r="J23" s="4">
        <v>0.43541666666666667</v>
      </c>
      <c r="K23">
        <v>1</v>
      </c>
      <c r="L23">
        <v>1</v>
      </c>
      <c r="M23" t="s">
        <v>120</v>
      </c>
      <c r="N23">
        <v>0.1</v>
      </c>
      <c r="O23" t="s">
        <v>94</v>
      </c>
      <c r="Q23">
        <v>1</v>
      </c>
      <c r="R23" t="s">
        <v>94</v>
      </c>
      <c r="S23" t="s">
        <v>94</v>
      </c>
      <c r="T23" t="s">
        <v>94</v>
      </c>
    </row>
    <row r="24" spans="1:21">
      <c r="A24">
        <v>23</v>
      </c>
      <c r="B24" s="6">
        <v>46295</v>
      </c>
      <c r="C24" t="s">
        <v>80</v>
      </c>
      <c r="D24">
        <v>23</v>
      </c>
      <c r="E24" t="s">
        <v>119</v>
      </c>
      <c r="F24" t="s">
        <v>121</v>
      </c>
      <c r="G24" t="s">
        <v>86</v>
      </c>
      <c r="H24" t="s">
        <v>87</v>
      </c>
      <c r="I24" s="4">
        <v>0.43541666666666667</v>
      </c>
      <c r="J24" s="4">
        <v>0.45833333333333331</v>
      </c>
      <c r="K24">
        <v>4</v>
      </c>
      <c r="L24">
        <v>4</v>
      </c>
      <c r="M24" t="s">
        <v>122</v>
      </c>
      <c r="N24">
        <v>0.2</v>
      </c>
      <c r="O24" t="s">
        <v>94</v>
      </c>
      <c r="Q24">
        <v>1</v>
      </c>
      <c r="R24" t="s">
        <v>94</v>
      </c>
      <c r="S24" t="s">
        <v>94</v>
      </c>
      <c r="T24" t="s">
        <v>94</v>
      </c>
    </row>
    <row r="25" spans="1:21">
      <c r="A25">
        <v>24</v>
      </c>
      <c r="B25" s="6">
        <v>46295</v>
      </c>
      <c r="C25" t="s">
        <v>80</v>
      </c>
      <c r="D25">
        <v>24</v>
      </c>
      <c r="E25" t="s">
        <v>121</v>
      </c>
      <c r="F25" t="s">
        <v>123</v>
      </c>
      <c r="G25" t="s">
        <v>86</v>
      </c>
      <c r="H25" t="s">
        <v>87</v>
      </c>
      <c r="I25" s="4">
        <v>0.45833333333333331</v>
      </c>
      <c r="J25" s="4">
        <v>0.46111111111111114</v>
      </c>
      <c r="K25">
        <v>4</v>
      </c>
      <c r="L25">
        <v>5</v>
      </c>
      <c r="M25">
        <v>0.2</v>
      </c>
      <c r="N25">
        <v>0.2</v>
      </c>
      <c r="O25" t="s">
        <v>94</v>
      </c>
      <c r="P25" t="s">
        <v>124</v>
      </c>
      <c r="Q25">
        <v>1</v>
      </c>
      <c r="R25" t="s">
        <v>94</v>
      </c>
      <c r="S25" t="s">
        <v>94</v>
      </c>
      <c r="T25" t="s">
        <v>94</v>
      </c>
      <c r="U25" t="s">
        <v>125</v>
      </c>
    </row>
    <row r="26" spans="1:21">
      <c r="A26">
        <v>25</v>
      </c>
      <c r="B26" s="6">
        <v>46295</v>
      </c>
      <c r="C26" t="s">
        <v>80</v>
      </c>
      <c r="D26">
        <v>25</v>
      </c>
      <c r="E26" t="s">
        <v>121</v>
      </c>
      <c r="F26" t="s">
        <v>126</v>
      </c>
      <c r="G26" t="s">
        <v>86</v>
      </c>
      <c r="H26" t="s">
        <v>87</v>
      </c>
      <c r="I26" s="4">
        <v>0.46111111111111114</v>
      </c>
      <c r="J26" s="4">
        <v>0.46597222222222223</v>
      </c>
      <c r="K26">
        <v>7</v>
      </c>
      <c r="L26">
        <v>8</v>
      </c>
      <c r="M26">
        <v>0.4</v>
      </c>
      <c r="N26">
        <v>0.4</v>
      </c>
      <c r="O26" t="s">
        <v>94</v>
      </c>
      <c r="Q26">
        <v>0</v>
      </c>
      <c r="R26" t="s">
        <v>94</v>
      </c>
      <c r="S26" t="s">
        <v>94</v>
      </c>
      <c r="T26" t="s">
        <v>94</v>
      </c>
    </row>
    <row r="27" spans="1:21">
      <c r="A27">
        <v>25</v>
      </c>
      <c r="B27" s="6">
        <v>46295</v>
      </c>
      <c r="C27" t="s">
        <v>80</v>
      </c>
      <c r="D27">
        <v>26</v>
      </c>
      <c r="E27" t="s">
        <v>126</v>
      </c>
      <c r="F27" t="s">
        <v>127</v>
      </c>
      <c r="G27" t="s">
        <v>86</v>
      </c>
      <c r="H27" t="s">
        <v>87</v>
      </c>
      <c r="I27" s="4" t="s">
        <v>106</v>
      </c>
      <c r="J27" s="4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94</v>
      </c>
      <c r="P27" t="s">
        <v>124</v>
      </c>
      <c r="Q27">
        <v>4</v>
      </c>
      <c r="R27" t="s">
        <v>107</v>
      </c>
      <c r="S27" t="s">
        <v>94</v>
      </c>
      <c r="T27" t="s">
        <v>94</v>
      </c>
      <c r="U27" t="s">
        <v>128</v>
      </c>
    </row>
    <row r="28" spans="1:21">
      <c r="A28">
        <v>26</v>
      </c>
      <c r="B28" s="6">
        <v>46295</v>
      </c>
      <c r="C28" t="s">
        <v>80</v>
      </c>
      <c r="D28">
        <v>27</v>
      </c>
      <c r="E28" t="s">
        <v>126</v>
      </c>
      <c r="F28" t="s">
        <v>129</v>
      </c>
      <c r="G28" t="s">
        <v>86</v>
      </c>
      <c r="H28" t="s">
        <v>87</v>
      </c>
      <c r="I28" s="4">
        <v>0.46875</v>
      </c>
      <c r="J28" s="4">
        <v>0.47083333333333333</v>
      </c>
      <c r="K28">
        <v>3</v>
      </c>
      <c r="L28">
        <v>7</v>
      </c>
      <c r="M28">
        <v>0.3</v>
      </c>
      <c r="N28">
        <v>0.1</v>
      </c>
      <c r="O28" t="s">
        <v>94</v>
      </c>
      <c r="Q28">
        <v>0</v>
      </c>
      <c r="R28" t="s">
        <v>94</v>
      </c>
      <c r="S28" t="s">
        <v>94</v>
      </c>
      <c r="T28" t="s">
        <v>94</v>
      </c>
    </row>
    <row r="29" spans="1:21">
      <c r="A29">
        <v>27</v>
      </c>
      <c r="B29" s="6">
        <v>46295</v>
      </c>
      <c r="C29" t="s">
        <v>80</v>
      </c>
      <c r="D29">
        <v>28</v>
      </c>
      <c r="E29" t="s">
        <v>129</v>
      </c>
      <c r="F29" t="s">
        <v>102</v>
      </c>
      <c r="G29" t="s">
        <v>86</v>
      </c>
      <c r="H29" t="s">
        <v>87</v>
      </c>
      <c r="I29" s="4">
        <v>0.47083333333333333</v>
      </c>
      <c r="J29" s="4">
        <v>0.47291666666666665</v>
      </c>
      <c r="K29">
        <v>3</v>
      </c>
      <c r="L29">
        <v>3</v>
      </c>
      <c r="M29" t="s">
        <v>130</v>
      </c>
      <c r="N29">
        <v>0.2</v>
      </c>
      <c r="O29" t="s">
        <v>94</v>
      </c>
      <c r="Q29">
        <v>0</v>
      </c>
      <c r="R29" t="s">
        <v>94</v>
      </c>
      <c r="S29" t="s">
        <v>94</v>
      </c>
      <c r="T29" t="s">
        <v>94</v>
      </c>
    </row>
    <row r="30" spans="1:21">
      <c r="A30">
        <v>28</v>
      </c>
      <c r="B30" s="6">
        <v>46295</v>
      </c>
      <c r="C30" t="s">
        <v>80</v>
      </c>
      <c r="D30">
        <v>29</v>
      </c>
      <c r="E30" t="s">
        <v>102</v>
      </c>
      <c r="F30" t="s">
        <v>90</v>
      </c>
      <c r="G30" t="s">
        <v>86</v>
      </c>
      <c r="H30" t="s">
        <v>87</v>
      </c>
      <c r="I30" s="4"/>
      <c r="J30" s="4"/>
      <c r="K30" t="str">
        <f t="shared" si="0"/>
        <v/>
      </c>
      <c r="O30" t="s">
        <v>94</v>
      </c>
      <c r="Q30">
        <v>0</v>
      </c>
      <c r="R30" t="s">
        <v>94</v>
      </c>
      <c r="S30" t="s">
        <v>94</v>
      </c>
      <c r="T30" t="s">
        <v>94</v>
      </c>
    </row>
    <row r="31" spans="1:21">
      <c r="A31">
        <v>29</v>
      </c>
      <c r="B31" s="6">
        <v>46295</v>
      </c>
      <c r="C31" t="s">
        <v>80</v>
      </c>
      <c r="D31">
        <v>30</v>
      </c>
      <c r="E31" t="s">
        <v>90</v>
      </c>
      <c r="F31" t="s">
        <v>126</v>
      </c>
      <c r="G31" t="s">
        <v>86</v>
      </c>
      <c r="H31" t="s">
        <v>87</v>
      </c>
      <c r="I31" s="4"/>
      <c r="J31" s="4"/>
      <c r="K31" t="str">
        <f t="shared" si="0"/>
        <v/>
      </c>
      <c r="O31" t="s">
        <v>94</v>
      </c>
      <c r="Q31">
        <v>0</v>
      </c>
      <c r="R31" t="s">
        <v>94</v>
      </c>
      <c r="S31" t="s">
        <v>94</v>
      </c>
      <c r="T31" t="s">
        <v>94</v>
      </c>
    </row>
    <row r="32" spans="1:21">
      <c r="A32">
        <v>30</v>
      </c>
      <c r="B32" s="6">
        <v>46295</v>
      </c>
      <c r="C32" t="s">
        <v>80</v>
      </c>
      <c r="D32">
        <v>31</v>
      </c>
      <c r="E32" t="s">
        <v>126</v>
      </c>
      <c r="F32" t="s">
        <v>31</v>
      </c>
      <c r="G32" t="s">
        <v>86</v>
      </c>
      <c r="H32" t="s">
        <v>87</v>
      </c>
      <c r="I32" s="4"/>
      <c r="J32" s="4"/>
      <c r="K32" t="str">
        <f t="shared" si="0"/>
        <v/>
      </c>
      <c r="O32" t="s">
        <v>94</v>
      </c>
      <c r="Q32">
        <v>0</v>
      </c>
      <c r="R32" t="s">
        <v>94</v>
      </c>
      <c r="S32" t="s">
        <v>94</v>
      </c>
      <c r="T32" t="s">
        <v>94</v>
      </c>
    </row>
    <row r="33" spans="1:20">
      <c r="A33">
        <v>31</v>
      </c>
      <c r="B33" s="6">
        <v>46295</v>
      </c>
      <c r="C33" t="s">
        <v>80</v>
      </c>
      <c r="D33">
        <v>32</v>
      </c>
      <c r="E33" t="s">
        <v>31</v>
      </c>
      <c r="F33" t="s">
        <v>100</v>
      </c>
      <c r="G33" t="s">
        <v>86</v>
      </c>
      <c r="H33" t="s">
        <v>87</v>
      </c>
      <c r="I33" s="4"/>
      <c r="J33" s="4"/>
      <c r="K33" t="str">
        <f t="shared" si="0"/>
        <v/>
      </c>
      <c r="O33" t="s">
        <v>94</v>
      </c>
      <c r="Q33">
        <v>0</v>
      </c>
      <c r="R33" t="s">
        <v>94</v>
      </c>
      <c r="S33" t="s">
        <v>94</v>
      </c>
      <c r="T33" t="s">
        <v>94</v>
      </c>
    </row>
    <row r="34" spans="1:20">
      <c r="A34">
        <v>32</v>
      </c>
      <c r="B34" s="6">
        <v>46295</v>
      </c>
      <c r="C34" t="s">
        <v>80</v>
      </c>
      <c r="D34">
        <v>33</v>
      </c>
      <c r="E34" t="s">
        <v>100</v>
      </c>
      <c r="F34" t="s">
        <v>82</v>
      </c>
      <c r="G34" t="s">
        <v>86</v>
      </c>
      <c r="H34" t="s">
        <v>87</v>
      </c>
      <c r="I34" s="4"/>
      <c r="J34" s="4"/>
      <c r="K34" t="str">
        <f t="shared" si="0"/>
        <v/>
      </c>
      <c r="O34" t="s">
        <v>94</v>
      </c>
      <c r="Q34">
        <v>0</v>
      </c>
      <c r="R34" t="s">
        <v>94</v>
      </c>
      <c r="S34" t="s">
        <v>94</v>
      </c>
      <c r="T34" t="s">
        <v>94</v>
      </c>
    </row>
    <row r="35" spans="1:20">
      <c r="A35">
        <v>33</v>
      </c>
      <c r="B35" s="6">
        <v>46295</v>
      </c>
      <c r="C35" t="s">
        <v>80</v>
      </c>
      <c r="D35">
        <v>34</v>
      </c>
      <c r="E35" t="s">
        <v>82</v>
      </c>
      <c r="F35" t="s">
        <v>84</v>
      </c>
      <c r="G35" t="s">
        <v>86</v>
      </c>
      <c r="H35" t="s">
        <v>87</v>
      </c>
      <c r="I35" s="4"/>
      <c r="J35" s="4"/>
      <c r="K35" t="str">
        <f t="shared" si="0"/>
        <v/>
      </c>
      <c r="O35" t="s">
        <v>94</v>
      </c>
      <c r="Q35">
        <v>0</v>
      </c>
      <c r="R35" t="s">
        <v>94</v>
      </c>
      <c r="S35" t="s">
        <v>94</v>
      </c>
      <c r="T35" t="s">
        <v>94</v>
      </c>
    </row>
    <row r="36" spans="1:20">
      <c r="A36">
        <v>34</v>
      </c>
      <c r="B36" s="6">
        <v>46295</v>
      </c>
      <c r="C36" t="s">
        <v>80</v>
      </c>
      <c r="D36">
        <v>35</v>
      </c>
      <c r="E36" t="s">
        <v>84</v>
      </c>
      <c r="F36" t="s">
        <v>117</v>
      </c>
      <c r="G36" t="s">
        <v>86</v>
      </c>
      <c r="H36" t="s">
        <v>87</v>
      </c>
      <c r="I36" s="4"/>
      <c r="J36" s="4"/>
      <c r="K36" t="str">
        <f t="shared" si="0"/>
        <v/>
      </c>
      <c r="O36" t="s">
        <v>94</v>
      </c>
      <c r="Q36">
        <v>0</v>
      </c>
      <c r="R36" t="s">
        <v>94</v>
      </c>
      <c r="S36" t="s">
        <v>94</v>
      </c>
      <c r="T36" t="s">
        <v>94</v>
      </c>
    </row>
    <row r="37" spans="1:20">
      <c r="A37">
        <v>35</v>
      </c>
      <c r="B37" s="6">
        <v>46295</v>
      </c>
      <c r="C37" t="s">
        <v>80</v>
      </c>
      <c r="D37">
        <v>36</v>
      </c>
      <c r="E37" t="s">
        <v>117</v>
      </c>
      <c r="F37" t="s">
        <v>126</v>
      </c>
      <c r="G37" t="s">
        <v>86</v>
      </c>
      <c r="H37" t="s">
        <v>87</v>
      </c>
      <c r="I37" s="4"/>
      <c r="J37" s="4"/>
      <c r="K37" t="str">
        <f t="shared" si="0"/>
        <v/>
      </c>
      <c r="O37" t="s">
        <v>94</v>
      </c>
      <c r="Q37">
        <v>0</v>
      </c>
      <c r="R37" t="s">
        <v>94</v>
      </c>
      <c r="S37" t="s">
        <v>94</v>
      </c>
      <c r="T37" t="s">
        <v>94</v>
      </c>
    </row>
    <row r="38" spans="1:20">
      <c r="A38">
        <v>36</v>
      </c>
      <c r="B38" s="6">
        <v>46295</v>
      </c>
      <c r="C38" t="s">
        <v>80</v>
      </c>
      <c r="D38">
        <v>37</v>
      </c>
      <c r="E38" t="s">
        <v>126</v>
      </c>
      <c r="F38" t="s">
        <v>84</v>
      </c>
      <c r="G38" t="s">
        <v>86</v>
      </c>
      <c r="H38" t="s">
        <v>87</v>
      </c>
      <c r="I38" s="4"/>
      <c r="J38" s="4"/>
      <c r="K38" t="str">
        <f t="shared" si="0"/>
        <v/>
      </c>
      <c r="O38" t="s">
        <v>94</v>
      </c>
      <c r="Q38">
        <v>0</v>
      </c>
      <c r="R38" t="s">
        <v>94</v>
      </c>
      <c r="S38" t="s">
        <v>94</v>
      </c>
      <c r="T38" t="s">
        <v>94</v>
      </c>
    </row>
    <row r="39" spans="1:20">
      <c r="A39">
        <v>37</v>
      </c>
      <c r="B39" s="6">
        <v>46295</v>
      </c>
      <c r="C39" t="s">
        <v>80</v>
      </c>
      <c r="D39">
        <v>38</v>
      </c>
      <c r="E39" t="s">
        <v>84</v>
      </c>
      <c r="F39" t="s">
        <v>102</v>
      </c>
      <c r="G39" t="s">
        <v>86</v>
      </c>
      <c r="H39" t="s">
        <v>87</v>
      </c>
      <c r="I39" s="4"/>
      <c r="J39" s="4"/>
      <c r="K39" t="str">
        <f t="shared" si="0"/>
        <v/>
      </c>
      <c r="O39" t="s">
        <v>94</v>
      </c>
      <c r="Q39">
        <v>0</v>
      </c>
      <c r="R39" t="s">
        <v>94</v>
      </c>
      <c r="S39" t="s">
        <v>94</v>
      </c>
      <c r="T39" t="s">
        <v>94</v>
      </c>
    </row>
    <row r="40" spans="1:20">
      <c r="A40">
        <v>38</v>
      </c>
      <c r="B40" s="6">
        <v>46295</v>
      </c>
      <c r="C40" t="s">
        <v>80</v>
      </c>
      <c r="D40">
        <v>39</v>
      </c>
      <c r="E40" t="s">
        <v>102</v>
      </c>
      <c r="F40" t="s">
        <v>32</v>
      </c>
      <c r="G40" t="s">
        <v>86</v>
      </c>
      <c r="H40" t="s">
        <v>87</v>
      </c>
      <c r="I40" s="4"/>
      <c r="J40" s="4"/>
      <c r="K40" t="str">
        <f t="shared" si="0"/>
        <v/>
      </c>
      <c r="O40" t="s">
        <v>94</v>
      </c>
      <c r="Q40">
        <v>0</v>
      </c>
      <c r="R40" t="s">
        <v>94</v>
      </c>
      <c r="S40" t="s">
        <v>94</v>
      </c>
      <c r="T40" t="s">
        <v>94</v>
      </c>
    </row>
    <row r="41" spans="1:20">
      <c r="A41">
        <v>39</v>
      </c>
      <c r="B41" s="6">
        <v>46295</v>
      </c>
      <c r="C41" t="s">
        <v>80</v>
      </c>
      <c r="D41">
        <v>40</v>
      </c>
      <c r="E41" t="s">
        <v>32</v>
      </c>
      <c r="F41" t="s">
        <v>84</v>
      </c>
      <c r="G41" t="s">
        <v>86</v>
      </c>
      <c r="H41" t="s">
        <v>87</v>
      </c>
      <c r="I41" s="4"/>
      <c r="J41" s="4"/>
      <c r="K41" t="str">
        <f t="shared" si="0"/>
        <v/>
      </c>
      <c r="O41" t="s">
        <v>94</v>
      </c>
      <c r="Q41">
        <v>0</v>
      </c>
      <c r="R41" t="s">
        <v>94</v>
      </c>
      <c r="S41" t="s">
        <v>94</v>
      </c>
      <c r="T41" t="s">
        <v>94</v>
      </c>
    </row>
    <row r="42" spans="1:20">
      <c r="A42">
        <v>40</v>
      </c>
      <c r="B42" s="6">
        <v>46295</v>
      </c>
      <c r="C42" t="s">
        <v>80</v>
      </c>
      <c r="E42" t="s">
        <v>84</v>
      </c>
      <c r="F42" t="s">
        <v>32</v>
      </c>
      <c r="G42" t="s">
        <v>83</v>
      </c>
      <c r="H42" t="s">
        <v>112</v>
      </c>
      <c r="I42" s="4"/>
      <c r="J42" s="4"/>
      <c r="K42" t="str">
        <f t="shared" si="0"/>
        <v/>
      </c>
      <c r="O42" t="s">
        <v>94</v>
      </c>
      <c r="Q42">
        <v>0</v>
      </c>
      <c r="R42" t="s">
        <v>94</v>
      </c>
      <c r="S42" t="s">
        <v>94</v>
      </c>
      <c r="T42" t="s">
        <v>94</v>
      </c>
    </row>
    <row r="43" spans="1:20">
      <c r="B43" s="5"/>
      <c r="I43" s="4"/>
      <c r="J43" s="4"/>
      <c r="K43" t="str">
        <f t="shared" si="0"/>
        <v/>
      </c>
      <c r="O43" t="s">
        <v>94</v>
      </c>
      <c r="Q43">
        <v>0</v>
      </c>
      <c r="R43" t="s">
        <v>94</v>
      </c>
      <c r="S43" t="s">
        <v>94</v>
      </c>
      <c r="T43" t="s">
        <v>94</v>
      </c>
    </row>
    <row r="44" spans="1:20">
      <c r="B44" s="5"/>
      <c r="I44" s="4"/>
      <c r="J44" s="4"/>
      <c r="K44" t="str">
        <f t="shared" si="0"/>
        <v/>
      </c>
    </row>
    <row r="45" spans="1:20">
      <c r="B45" s="5"/>
      <c r="I45" s="4"/>
      <c r="J45" s="4"/>
      <c r="K45" t="str">
        <f t="shared" si="0"/>
        <v/>
      </c>
    </row>
    <row r="46" spans="1:20">
      <c r="B46" s="5"/>
      <c r="I46" s="4"/>
      <c r="J46" s="4"/>
      <c r="K46" t="str">
        <f t="shared" si="0"/>
        <v/>
      </c>
    </row>
    <row r="47" spans="1:20">
      <c r="B47" s="5"/>
      <c r="I47" s="4"/>
      <c r="J47" s="4"/>
      <c r="K47" t="str">
        <f t="shared" si="0"/>
        <v/>
      </c>
    </row>
    <row r="48" spans="1:20">
      <c r="B48" s="5"/>
      <c r="I48" s="4"/>
      <c r="J48" s="4"/>
      <c r="K48" t="str">
        <f t="shared" si="0"/>
        <v/>
      </c>
    </row>
    <row r="49" spans="2:11">
      <c r="B49" s="5"/>
      <c r="I49" s="4"/>
      <c r="J49" s="4"/>
      <c r="K49" t="str">
        <f t="shared" si="0"/>
        <v/>
      </c>
    </row>
    <row r="50" spans="2:11">
      <c r="B50" s="5"/>
      <c r="I50" s="4"/>
      <c r="J50" s="4"/>
      <c r="K50" t="str">
        <f t="shared" si="0"/>
        <v/>
      </c>
    </row>
    <row r="51" spans="2:11">
      <c r="B51" s="5"/>
      <c r="I51" s="4"/>
      <c r="J51" s="4"/>
      <c r="K51" t="str">
        <f t="shared" si="0"/>
        <v/>
      </c>
    </row>
    <row r="52" spans="2:11">
      <c r="B52" s="5"/>
      <c r="I52" s="4"/>
      <c r="J52" s="4"/>
      <c r="K52" t="str">
        <f t="shared" si="0"/>
        <v/>
      </c>
    </row>
    <row r="53" spans="2:11">
      <c r="B53" s="5"/>
      <c r="I53" s="4"/>
      <c r="J53" s="4"/>
      <c r="K53" t="str">
        <f t="shared" si="0"/>
        <v/>
      </c>
    </row>
    <row r="54" spans="2:11">
      <c r="B54" s="5"/>
      <c r="I54" s="4"/>
      <c r="J54" s="4"/>
      <c r="K54" t="str">
        <f t="shared" si="0"/>
        <v/>
      </c>
    </row>
    <row r="55" spans="2:11">
      <c r="B55" s="5"/>
      <c r="I55" s="4"/>
      <c r="J55" s="4"/>
      <c r="K55" t="str">
        <f t="shared" si="0"/>
        <v/>
      </c>
    </row>
    <row r="56" spans="2:11">
      <c r="B56" s="5"/>
      <c r="I56" s="4"/>
      <c r="J56" s="4"/>
      <c r="K56" t="str">
        <f t="shared" si="0"/>
        <v/>
      </c>
    </row>
    <row r="57" spans="2:11">
      <c r="B57" s="5"/>
      <c r="I57" s="4"/>
      <c r="J57" s="4"/>
      <c r="K57" t="str">
        <f t="shared" si="0"/>
        <v/>
      </c>
    </row>
    <row r="58" spans="2:11">
      <c r="B58" s="5"/>
      <c r="I58" s="4"/>
      <c r="J58" s="4"/>
      <c r="K58" t="str">
        <f t="shared" si="0"/>
        <v/>
      </c>
    </row>
    <row r="59" spans="2:11">
      <c r="B59" s="5"/>
      <c r="I59" s="4"/>
      <c r="J59" s="4"/>
      <c r="K59" t="str">
        <f t="shared" si="0"/>
        <v/>
      </c>
    </row>
    <row r="60" spans="2:11">
      <c r="B60" s="5"/>
      <c r="I60" s="4"/>
      <c r="J60" s="4"/>
      <c r="K60" t="str">
        <f t="shared" si="0"/>
        <v/>
      </c>
    </row>
    <row r="61" spans="2:11">
      <c r="B61" s="5"/>
      <c r="I61" s="4"/>
      <c r="J61" s="4"/>
      <c r="K61" t="str">
        <f t="shared" si="0"/>
        <v/>
      </c>
    </row>
    <row r="62" spans="2:11">
      <c r="B62" s="5"/>
      <c r="I62" s="4"/>
      <c r="J62" s="4"/>
      <c r="K62" t="str">
        <f t="shared" si="0"/>
        <v/>
      </c>
    </row>
    <row r="63" spans="2:11">
      <c r="B63" s="5"/>
      <c r="I63" s="4"/>
      <c r="J63" s="4"/>
      <c r="K63" t="str">
        <f t="shared" si="0"/>
        <v/>
      </c>
    </row>
    <row r="64" spans="2:11">
      <c r="B64" s="5"/>
      <c r="I64" s="4"/>
      <c r="J64" s="4"/>
      <c r="K64" t="str">
        <f t="shared" si="0"/>
        <v/>
      </c>
    </row>
    <row r="65" spans="2:11">
      <c r="B65" s="5"/>
      <c r="I65" s="4"/>
      <c r="J65" s="4"/>
      <c r="K65" t="str">
        <f t="shared" si="0"/>
        <v/>
      </c>
    </row>
    <row r="66" spans="2:11">
      <c r="B66" s="5"/>
      <c r="I66" s="4"/>
      <c r="J66" s="4"/>
      <c r="K66" t="str">
        <f t="shared" ref="K66:K129" si="1">IF(OR(I66="",J66=""),"",MOD(J66-I66,1)*1440)</f>
        <v/>
      </c>
    </row>
    <row r="67" spans="2:11">
      <c r="B67" s="5"/>
      <c r="I67" s="4"/>
      <c r="J67" s="4"/>
      <c r="K67" t="str">
        <f t="shared" si="1"/>
        <v/>
      </c>
    </row>
    <row r="68" spans="2:11">
      <c r="B68" s="5"/>
      <c r="I68" s="4"/>
      <c r="J68" s="4"/>
      <c r="K68" t="str">
        <f t="shared" si="1"/>
        <v/>
      </c>
    </row>
    <row r="69" spans="2:11">
      <c r="B69" s="5"/>
      <c r="I69" s="4"/>
      <c r="J69" s="4"/>
      <c r="K69" t="str">
        <f t="shared" si="1"/>
        <v/>
      </c>
    </row>
    <row r="70" spans="2:11">
      <c r="B70" s="5"/>
      <c r="I70" s="4"/>
      <c r="J70" s="4"/>
      <c r="K70" t="str">
        <f t="shared" si="1"/>
        <v/>
      </c>
    </row>
    <row r="71" spans="2:11">
      <c r="B71" s="5"/>
      <c r="I71" s="4"/>
      <c r="J71" s="4"/>
      <c r="K71" t="str">
        <f t="shared" si="1"/>
        <v/>
      </c>
    </row>
    <row r="72" spans="2:11">
      <c r="B72" s="5"/>
      <c r="I72" s="4"/>
      <c r="J72" s="4"/>
      <c r="K72" t="str">
        <f t="shared" si="1"/>
        <v/>
      </c>
    </row>
    <row r="73" spans="2:11">
      <c r="B73" s="5"/>
      <c r="I73" s="4"/>
      <c r="J73" s="4"/>
      <c r="K73" t="str">
        <f t="shared" si="1"/>
        <v/>
      </c>
    </row>
    <row r="74" spans="2:11">
      <c r="B74" s="5"/>
      <c r="I74" s="4"/>
      <c r="J74" s="4"/>
      <c r="K74" t="str">
        <f t="shared" si="1"/>
        <v/>
      </c>
    </row>
    <row r="75" spans="2:11">
      <c r="B75" s="5"/>
      <c r="I75" s="4"/>
      <c r="J75" s="4"/>
      <c r="K75" t="str">
        <f t="shared" si="1"/>
        <v/>
      </c>
    </row>
    <row r="76" spans="2:11">
      <c r="B76" s="5"/>
      <c r="I76" s="4"/>
      <c r="J76" s="4"/>
      <c r="K76" t="str">
        <f t="shared" si="1"/>
        <v/>
      </c>
    </row>
    <row r="77" spans="2:11">
      <c r="B77" s="5"/>
      <c r="I77" s="4"/>
      <c r="J77" s="4"/>
      <c r="K77" t="str">
        <f t="shared" si="1"/>
        <v/>
      </c>
    </row>
    <row r="78" spans="2:11">
      <c r="B78" s="5"/>
      <c r="I78" s="4"/>
      <c r="J78" s="4"/>
      <c r="K78" t="str">
        <f t="shared" si="1"/>
        <v/>
      </c>
    </row>
    <row r="79" spans="2:11">
      <c r="B79" s="5"/>
      <c r="I79" s="4"/>
      <c r="J79" s="4"/>
      <c r="K79" t="str">
        <f t="shared" si="1"/>
        <v/>
      </c>
    </row>
    <row r="80" spans="2:11">
      <c r="B80" s="5"/>
      <c r="I80" s="4"/>
      <c r="J80" s="4"/>
      <c r="K80" t="str">
        <f t="shared" si="1"/>
        <v/>
      </c>
    </row>
    <row r="81" spans="2:11">
      <c r="B81" s="5"/>
      <c r="I81" s="4"/>
      <c r="J81" s="4"/>
      <c r="K81" t="str">
        <f t="shared" si="1"/>
        <v/>
      </c>
    </row>
    <row r="82" spans="2:11">
      <c r="B82" s="5"/>
      <c r="I82" s="4"/>
      <c r="J82" s="4"/>
      <c r="K82" t="str">
        <f t="shared" si="1"/>
        <v/>
      </c>
    </row>
    <row r="83" spans="2:11">
      <c r="B83" s="5"/>
      <c r="I83" s="4"/>
      <c r="J83" s="4"/>
      <c r="K83" t="str">
        <f t="shared" si="1"/>
        <v/>
      </c>
    </row>
    <row r="84" spans="2:11">
      <c r="B84" s="5"/>
      <c r="I84" s="4"/>
      <c r="J84" s="4"/>
      <c r="K84" t="str">
        <f t="shared" si="1"/>
        <v/>
      </c>
    </row>
    <row r="85" spans="2:11">
      <c r="B85" s="5"/>
      <c r="I85" s="4"/>
      <c r="J85" s="4"/>
      <c r="K85" t="str">
        <f t="shared" si="1"/>
        <v/>
      </c>
    </row>
    <row r="86" spans="2:11">
      <c r="B86" s="5"/>
      <c r="I86" s="4"/>
      <c r="J86" s="4"/>
      <c r="K86" t="str">
        <f t="shared" si="1"/>
        <v/>
      </c>
    </row>
    <row r="87" spans="2:11">
      <c r="B87" s="5"/>
      <c r="I87" s="4"/>
      <c r="J87" s="4"/>
      <c r="K87" t="str">
        <f t="shared" si="1"/>
        <v/>
      </c>
    </row>
    <row r="88" spans="2:11">
      <c r="B88" s="5"/>
      <c r="I88" s="4"/>
      <c r="J88" s="4"/>
      <c r="K88" t="str">
        <f t="shared" si="1"/>
        <v/>
      </c>
    </row>
    <row r="89" spans="2:11">
      <c r="B89" s="5"/>
      <c r="I89" s="4"/>
      <c r="J89" s="4"/>
      <c r="K89" t="str">
        <f t="shared" si="1"/>
        <v/>
      </c>
    </row>
    <row r="90" spans="2:11">
      <c r="B90" s="5"/>
      <c r="I90" s="4"/>
      <c r="J90" s="4"/>
      <c r="K90" t="str">
        <f t="shared" si="1"/>
        <v/>
      </c>
    </row>
    <row r="91" spans="2:11">
      <c r="B91" s="5"/>
      <c r="I91" s="4"/>
      <c r="J91" s="4"/>
      <c r="K91" t="str">
        <f t="shared" si="1"/>
        <v/>
      </c>
    </row>
    <row r="92" spans="2:11">
      <c r="B92" s="5"/>
      <c r="I92" s="4"/>
      <c r="J92" s="4"/>
      <c r="K92" t="str">
        <f t="shared" si="1"/>
        <v/>
      </c>
    </row>
    <row r="93" spans="2:11">
      <c r="B93" s="5"/>
      <c r="I93" s="4"/>
      <c r="J93" s="4"/>
      <c r="K93" t="str">
        <f t="shared" si="1"/>
        <v/>
      </c>
    </row>
    <row r="94" spans="2:11">
      <c r="B94" s="5"/>
      <c r="I94" s="4"/>
      <c r="J94" s="4"/>
      <c r="K94" t="str">
        <f t="shared" si="1"/>
        <v/>
      </c>
    </row>
    <row r="95" spans="2:11">
      <c r="B95" s="5"/>
      <c r="I95" s="4"/>
      <c r="J95" s="4"/>
      <c r="K95" t="str">
        <f t="shared" si="1"/>
        <v/>
      </c>
    </row>
    <row r="96" spans="2:11">
      <c r="B96" s="5"/>
      <c r="I96" s="4"/>
      <c r="J96" s="4"/>
      <c r="K96" t="str">
        <f t="shared" si="1"/>
        <v/>
      </c>
    </row>
    <row r="97" spans="2:11">
      <c r="B97" s="5"/>
      <c r="I97" s="4"/>
      <c r="J97" s="4"/>
      <c r="K97" t="str">
        <f t="shared" si="1"/>
        <v/>
      </c>
    </row>
    <row r="98" spans="2:11">
      <c r="B98" s="5"/>
      <c r="I98" s="4"/>
      <c r="J98" s="4"/>
      <c r="K98" t="str">
        <f t="shared" si="1"/>
        <v/>
      </c>
    </row>
    <row r="99" spans="2:11">
      <c r="B99" s="5"/>
      <c r="I99" s="4"/>
      <c r="J99" s="4"/>
      <c r="K99" t="str">
        <f t="shared" si="1"/>
        <v/>
      </c>
    </row>
    <row r="100" spans="2:11">
      <c r="B100" s="5"/>
      <c r="I100" s="4"/>
      <c r="J100" s="4"/>
      <c r="K100" t="str">
        <f t="shared" si="1"/>
        <v/>
      </c>
    </row>
    <row r="101" spans="2:11">
      <c r="B101" s="5"/>
      <c r="I101" s="4"/>
      <c r="J101" s="4"/>
      <c r="K101" t="str">
        <f t="shared" si="1"/>
        <v/>
      </c>
    </row>
    <row r="102" spans="2:11">
      <c r="B102" s="5"/>
      <c r="I102" s="4"/>
      <c r="J102" s="4"/>
      <c r="K102" t="str">
        <f t="shared" si="1"/>
        <v/>
      </c>
    </row>
    <row r="103" spans="2:11">
      <c r="B103" s="5"/>
      <c r="I103" s="4"/>
      <c r="J103" s="4"/>
      <c r="K103" t="str">
        <f t="shared" si="1"/>
        <v/>
      </c>
    </row>
    <row r="104" spans="2:11">
      <c r="B104" s="5"/>
      <c r="I104" s="4"/>
      <c r="J104" s="4"/>
      <c r="K104" t="str">
        <f t="shared" si="1"/>
        <v/>
      </c>
    </row>
    <row r="105" spans="2:11">
      <c r="B105" s="5"/>
      <c r="I105" s="4"/>
      <c r="J105" s="4"/>
      <c r="K105" t="str">
        <f t="shared" si="1"/>
        <v/>
      </c>
    </row>
    <row r="106" spans="2:11">
      <c r="B106" s="5"/>
      <c r="I106" s="4"/>
      <c r="J106" s="4"/>
      <c r="K106" t="str">
        <f t="shared" si="1"/>
        <v/>
      </c>
    </row>
    <row r="107" spans="2:11">
      <c r="B107" s="5"/>
      <c r="I107" s="4"/>
      <c r="J107" s="4"/>
      <c r="K107" t="str">
        <f t="shared" si="1"/>
        <v/>
      </c>
    </row>
    <row r="108" spans="2:11">
      <c r="B108" s="5"/>
      <c r="I108" s="4"/>
      <c r="J108" s="4"/>
      <c r="K108" t="str">
        <f t="shared" si="1"/>
        <v/>
      </c>
    </row>
    <row r="109" spans="2:11">
      <c r="B109" s="5"/>
      <c r="I109" s="4"/>
      <c r="J109" s="4"/>
      <c r="K109" t="str">
        <f t="shared" si="1"/>
        <v/>
      </c>
    </row>
    <row r="110" spans="2:11">
      <c r="B110" s="5"/>
      <c r="I110" s="4"/>
      <c r="J110" s="4"/>
      <c r="K110" t="str">
        <f t="shared" si="1"/>
        <v/>
      </c>
    </row>
    <row r="111" spans="2:11">
      <c r="B111" s="5"/>
      <c r="I111" s="4"/>
      <c r="J111" s="4"/>
      <c r="K111" t="str">
        <f t="shared" si="1"/>
        <v/>
      </c>
    </row>
    <row r="112" spans="2:11">
      <c r="B112" s="5"/>
      <c r="I112" s="4"/>
      <c r="J112" s="4"/>
      <c r="K112" t="str">
        <f t="shared" si="1"/>
        <v/>
      </c>
    </row>
    <row r="113" spans="2:11">
      <c r="B113" s="5"/>
      <c r="I113" s="4"/>
      <c r="J113" s="4"/>
      <c r="K113" t="str">
        <f t="shared" si="1"/>
        <v/>
      </c>
    </row>
    <row r="114" spans="2:11">
      <c r="B114" s="5"/>
      <c r="I114" s="4"/>
      <c r="J114" s="4"/>
      <c r="K114" t="str">
        <f t="shared" si="1"/>
        <v/>
      </c>
    </row>
    <row r="115" spans="2:11">
      <c r="B115" s="5"/>
      <c r="I115" s="4"/>
      <c r="J115" s="4"/>
      <c r="K115" t="str">
        <f t="shared" si="1"/>
        <v/>
      </c>
    </row>
    <row r="116" spans="2:11">
      <c r="B116" s="5"/>
      <c r="I116" s="4"/>
      <c r="J116" s="4"/>
      <c r="K116" t="str">
        <f t="shared" si="1"/>
        <v/>
      </c>
    </row>
    <row r="117" spans="2:11">
      <c r="B117" s="5"/>
      <c r="I117" s="4"/>
      <c r="J117" s="4"/>
      <c r="K117" t="str">
        <f t="shared" si="1"/>
        <v/>
      </c>
    </row>
    <row r="118" spans="2:11">
      <c r="B118" s="5"/>
      <c r="I118" s="4"/>
      <c r="J118" s="4"/>
      <c r="K118" t="str">
        <f t="shared" si="1"/>
        <v/>
      </c>
    </row>
    <row r="119" spans="2:11">
      <c r="B119" s="5"/>
      <c r="I119" s="4"/>
      <c r="J119" s="4"/>
      <c r="K119" t="str">
        <f t="shared" si="1"/>
        <v/>
      </c>
    </row>
    <row r="120" spans="2:11">
      <c r="B120" s="5"/>
      <c r="I120" s="4"/>
      <c r="J120" s="4"/>
      <c r="K120" t="str">
        <f t="shared" si="1"/>
        <v/>
      </c>
    </row>
    <row r="121" spans="2:11">
      <c r="B121" s="5"/>
      <c r="I121" s="4"/>
      <c r="J121" s="4"/>
      <c r="K121" t="str">
        <f t="shared" si="1"/>
        <v/>
      </c>
    </row>
    <row r="122" spans="2:11">
      <c r="B122" s="5"/>
      <c r="I122" s="4"/>
      <c r="J122" s="4"/>
      <c r="K122" t="str">
        <f t="shared" si="1"/>
        <v/>
      </c>
    </row>
    <row r="123" spans="2:11">
      <c r="B123" s="5"/>
      <c r="I123" s="4"/>
      <c r="J123" s="4"/>
      <c r="K123" t="str">
        <f t="shared" si="1"/>
        <v/>
      </c>
    </row>
    <row r="124" spans="2:11">
      <c r="B124" s="5"/>
      <c r="I124" s="4"/>
      <c r="J124" s="4"/>
      <c r="K124" t="str">
        <f t="shared" si="1"/>
        <v/>
      </c>
    </row>
    <row r="125" spans="2:11">
      <c r="B125" s="5"/>
      <c r="I125" s="4"/>
      <c r="J125" s="4"/>
      <c r="K125" t="str">
        <f t="shared" si="1"/>
        <v/>
      </c>
    </row>
    <row r="126" spans="2:11">
      <c r="B126" s="5"/>
      <c r="I126" s="4"/>
      <c r="J126" s="4"/>
      <c r="K126" t="str">
        <f t="shared" si="1"/>
        <v/>
      </c>
    </row>
    <row r="127" spans="2:11">
      <c r="B127" s="5"/>
      <c r="I127" s="4"/>
      <c r="J127" s="4"/>
      <c r="K127" t="str">
        <f t="shared" si="1"/>
        <v/>
      </c>
    </row>
    <row r="128" spans="2:11">
      <c r="B128" s="5"/>
      <c r="I128" s="4"/>
      <c r="J128" s="4"/>
      <c r="K128" t="str">
        <f t="shared" si="1"/>
        <v/>
      </c>
    </row>
    <row r="129" spans="2:11">
      <c r="B129" s="5"/>
      <c r="I129" s="4"/>
      <c r="J129" s="4"/>
      <c r="K129" t="str">
        <f t="shared" si="1"/>
        <v/>
      </c>
    </row>
    <row r="130" spans="2:11">
      <c r="B130" s="5"/>
      <c r="I130" s="4"/>
      <c r="J130" s="4"/>
      <c r="K130" t="str">
        <f t="shared" ref="K130:K193" si="2">IF(OR(I130="",J130=""),"",MOD(J130-I130,1)*1440)</f>
        <v/>
      </c>
    </row>
    <row r="131" spans="2:11">
      <c r="B131" s="5"/>
      <c r="I131" s="4"/>
      <c r="J131" s="4"/>
      <c r="K131" t="str">
        <f t="shared" si="2"/>
        <v/>
      </c>
    </row>
    <row r="132" spans="2:11">
      <c r="B132" s="5"/>
      <c r="I132" s="4"/>
      <c r="J132" s="4"/>
      <c r="K132" t="str">
        <f t="shared" si="2"/>
        <v/>
      </c>
    </row>
    <row r="133" spans="2:11">
      <c r="B133" s="5"/>
      <c r="I133" s="4"/>
      <c r="J133" s="4"/>
      <c r="K133" t="str">
        <f t="shared" si="2"/>
        <v/>
      </c>
    </row>
    <row r="134" spans="2:11">
      <c r="B134" s="5"/>
      <c r="I134" s="4"/>
      <c r="J134" s="4"/>
      <c r="K134" t="str">
        <f t="shared" si="2"/>
        <v/>
      </c>
    </row>
    <row r="135" spans="2:11">
      <c r="B135" s="5"/>
      <c r="I135" s="4"/>
      <c r="J135" s="4"/>
      <c r="K135" t="str">
        <f t="shared" si="2"/>
        <v/>
      </c>
    </row>
    <row r="136" spans="2:11">
      <c r="B136" s="5"/>
      <c r="I136" s="4"/>
      <c r="J136" s="4"/>
      <c r="K136" t="str">
        <f t="shared" si="2"/>
        <v/>
      </c>
    </row>
    <row r="137" spans="2:11">
      <c r="B137" s="5"/>
      <c r="I137" s="4"/>
      <c r="J137" s="4"/>
      <c r="K137" t="str">
        <f t="shared" si="2"/>
        <v/>
      </c>
    </row>
    <row r="138" spans="2:11">
      <c r="B138" s="5"/>
      <c r="I138" s="4"/>
      <c r="J138" s="4"/>
      <c r="K138" t="str">
        <f t="shared" si="2"/>
        <v/>
      </c>
    </row>
    <row r="139" spans="2:11">
      <c r="B139" s="5"/>
      <c r="I139" s="4"/>
      <c r="J139" s="4"/>
      <c r="K139" t="str">
        <f t="shared" si="2"/>
        <v/>
      </c>
    </row>
    <row r="140" spans="2:11">
      <c r="B140" s="5"/>
      <c r="I140" s="4"/>
      <c r="J140" s="4"/>
      <c r="K140" t="str">
        <f t="shared" si="2"/>
        <v/>
      </c>
    </row>
    <row r="141" spans="2:11">
      <c r="B141" s="5"/>
      <c r="I141" s="4"/>
      <c r="J141" s="4"/>
      <c r="K141" t="str">
        <f t="shared" si="2"/>
        <v/>
      </c>
    </row>
    <row r="142" spans="2:11">
      <c r="B142" s="5"/>
      <c r="I142" s="4"/>
      <c r="J142" s="4"/>
      <c r="K142" t="str">
        <f t="shared" si="2"/>
        <v/>
      </c>
    </row>
    <row r="143" spans="2:11">
      <c r="B143" s="5"/>
      <c r="I143" s="4"/>
      <c r="J143" s="4"/>
      <c r="K143" t="str">
        <f t="shared" si="2"/>
        <v/>
      </c>
    </row>
    <row r="144" spans="2:11">
      <c r="B144" s="5"/>
      <c r="I144" s="4"/>
      <c r="J144" s="4"/>
      <c r="K144" t="str">
        <f t="shared" si="2"/>
        <v/>
      </c>
    </row>
    <row r="145" spans="2:11">
      <c r="B145" s="5"/>
      <c r="I145" s="4"/>
      <c r="J145" s="4"/>
      <c r="K145" t="str">
        <f t="shared" si="2"/>
        <v/>
      </c>
    </row>
    <row r="146" spans="2:11">
      <c r="B146" s="5"/>
      <c r="I146" s="4"/>
      <c r="J146" s="4"/>
      <c r="K146" t="str">
        <f t="shared" si="2"/>
        <v/>
      </c>
    </row>
    <row r="147" spans="2:11">
      <c r="B147" s="5"/>
      <c r="I147" s="4"/>
      <c r="J147" s="4"/>
      <c r="K147" t="str">
        <f t="shared" si="2"/>
        <v/>
      </c>
    </row>
    <row r="148" spans="2:11">
      <c r="B148" s="5"/>
      <c r="I148" s="4"/>
      <c r="J148" s="4"/>
      <c r="K148" t="str">
        <f t="shared" si="2"/>
        <v/>
      </c>
    </row>
    <row r="149" spans="2:11">
      <c r="B149" s="5"/>
      <c r="I149" s="4"/>
      <c r="J149" s="4"/>
      <c r="K149" t="str">
        <f t="shared" si="2"/>
        <v/>
      </c>
    </row>
    <row r="150" spans="2:11">
      <c r="B150" s="5"/>
      <c r="I150" s="4"/>
      <c r="J150" s="4"/>
      <c r="K150" t="str">
        <f t="shared" si="2"/>
        <v/>
      </c>
    </row>
    <row r="151" spans="2:11">
      <c r="B151" s="5"/>
      <c r="I151" s="4"/>
      <c r="J151" s="4"/>
      <c r="K151" t="str">
        <f t="shared" si="2"/>
        <v/>
      </c>
    </row>
    <row r="152" spans="2:11">
      <c r="B152" s="5"/>
      <c r="I152" s="4"/>
      <c r="J152" s="4"/>
      <c r="K152" t="str">
        <f t="shared" si="2"/>
        <v/>
      </c>
    </row>
    <row r="153" spans="2:11">
      <c r="B153" s="5"/>
      <c r="I153" s="4"/>
      <c r="J153" s="4"/>
      <c r="K153" t="str">
        <f t="shared" si="2"/>
        <v/>
      </c>
    </row>
    <row r="154" spans="2:11">
      <c r="B154" s="5"/>
      <c r="I154" s="4"/>
      <c r="J154" s="4"/>
      <c r="K154" t="str">
        <f t="shared" si="2"/>
        <v/>
      </c>
    </row>
    <row r="155" spans="2:11">
      <c r="B155" s="5"/>
      <c r="I155" s="4"/>
      <c r="J155" s="4"/>
      <c r="K155" t="str">
        <f t="shared" si="2"/>
        <v/>
      </c>
    </row>
    <row r="156" spans="2:11">
      <c r="B156" s="5"/>
      <c r="I156" s="4"/>
      <c r="J156" s="4"/>
      <c r="K156" t="str">
        <f t="shared" si="2"/>
        <v/>
      </c>
    </row>
    <row r="157" spans="2:11">
      <c r="B157" s="5"/>
      <c r="I157" s="4"/>
      <c r="J157" s="4"/>
      <c r="K157" t="str">
        <f t="shared" si="2"/>
        <v/>
      </c>
    </row>
    <row r="158" spans="2:11">
      <c r="B158" s="5"/>
      <c r="I158" s="4"/>
      <c r="J158" s="4"/>
      <c r="K158" t="str">
        <f t="shared" si="2"/>
        <v/>
      </c>
    </row>
    <row r="159" spans="2:11">
      <c r="B159" s="5"/>
      <c r="I159" s="4"/>
      <c r="J159" s="4"/>
      <c r="K159" t="str">
        <f t="shared" si="2"/>
        <v/>
      </c>
    </row>
    <row r="160" spans="2:11">
      <c r="B160" s="5"/>
      <c r="I160" s="4"/>
      <c r="J160" s="4"/>
      <c r="K160" t="str">
        <f t="shared" si="2"/>
        <v/>
      </c>
    </row>
    <row r="161" spans="2:11">
      <c r="B161" s="5"/>
      <c r="I161" s="4"/>
      <c r="J161" s="4"/>
      <c r="K161" t="str">
        <f t="shared" si="2"/>
        <v/>
      </c>
    </row>
    <row r="162" spans="2:11">
      <c r="B162" s="5"/>
      <c r="I162" s="4"/>
      <c r="J162" s="4"/>
      <c r="K162" t="str">
        <f t="shared" si="2"/>
        <v/>
      </c>
    </row>
    <row r="163" spans="2:11">
      <c r="B163" s="5"/>
      <c r="I163" s="4"/>
      <c r="J163" s="4"/>
      <c r="K163" t="str">
        <f t="shared" si="2"/>
        <v/>
      </c>
    </row>
    <row r="164" spans="2:11">
      <c r="B164" s="5"/>
      <c r="I164" s="4"/>
      <c r="J164" s="4"/>
      <c r="K164" t="str">
        <f t="shared" si="2"/>
        <v/>
      </c>
    </row>
    <row r="165" spans="2:11">
      <c r="B165" s="5"/>
      <c r="I165" s="4"/>
      <c r="J165" s="4"/>
      <c r="K165" t="str">
        <f t="shared" si="2"/>
        <v/>
      </c>
    </row>
    <row r="166" spans="2:11">
      <c r="B166" s="5"/>
      <c r="I166" s="4"/>
      <c r="J166" s="4"/>
      <c r="K166" t="str">
        <f t="shared" si="2"/>
        <v/>
      </c>
    </row>
    <row r="167" spans="2:11">
      <c r="B167" s="5"/>
      <c r="I167" s="4"/>
      <c r="J167" s="4"/>
      <c r="K167" t="str">
        <f t="shared" si="2"/>
        <v/>
      </c>
    </row>
    <row r="168" spans="2:11">
      <c r="B168" s="5"/>
      <c r="I168" s="4"/>
      <c r="J168" s="4"/>
      <c r="K168" t="str">
        <f t="shared" si="2"/>
        <v/>
      </c>
    </row>
    <row r="169" spans="2:11">
      <c r="B169" s="5"/>
      <c r="I169" s="4"/>
      <c r="J169" s="4"/>
      <c r="K169" t="str">
        <f t="shared" si="2"/>
        <v/>
      </c>
    </row>
    <row r="170" spans="2:11">
      <c r="B170" s="5"/>
      <c r="I170" s="4"/>
      <c r="J170" s="4"/>
      <c r="K170" t="str">
        <f t="shared" si="2"/>
        <v/>
      </c>
    </row>
    <row r="171" spans="2:11">
      <c r="B171" s="5"/>
      <c r="I171" s="4"/>
      <c r="J171" s="4"/>
      <c r="K171" t="str">
        <f t="shared" si="2"/>
        <v/>
      </c>
    </row>
    <row r="172" spans="2:11">
      <c r="B172" s="5"/>
      <c r="I172" s="4"/>
      <c r="J172" s="4"/>
      <c r="K172" t="str">
        <f t="shared" si="2"/>
        <v/>
      </c>
    </row>
    <row r="173" spans="2:11">
      <c r="B173" s="5"/>
      <c r="I173" s="4"/>
      <c r="J173" s="4"/>
      <c r="K173" t="str">
        <f t="shared" si="2"/>
        <v/>
      </c>
    </row>
    <row r="174" spans="2:11">
      <c r="B174" s="5"/>
      <c r="I174" s="4"/>
      <c r="J174" s="4"/>
      <c r="K174" t="str">
        <f t="shared" si="2"/>
        <v/>
      </c>
    </row>
    <row r="175" spans="2:11">
      <c r="B175" s="5"/>
      <c r="I175" s="4"/>
      <c r="J175" s="4"/>
      <c r="K175" t="str">
        <f t="shared" si="2"/>
        <v/>
      </c>
    </row>
    <row r="176" spans="2:11">
      <c r="B176" s="5"/>
      <c r="I176" s="4"/>
      <c r="J176" s="4"/>
      <c r="K176" t="str">
        <f t="shared" si="2"/>
        <v/>
      </c>
    </row>
    <row r="177" spans="2:11">
      <c r="B177" s="5"/>
      <c r="I177" s="4"/>
      <c r="J177" s="4"/>
      <c r="K177" t="str">
        <f t="shared" si="2"/>
        <v/>
      </c>
    </row>
    <row r="178" spans="2:11">
      <c r="B178" s="5"/>
      <c r="I178" s="4"/>
      <c r="J178" s="4"/>
      <c r="K178" t="str">
        <f t="shared" si="2"/>
        <v/>
      </c>
    </row>
    <row r="179" spans="2:11">
      <c r="B179" s="5"/>
      <c r="I179" s="4"/>
      <c r="J179" s="4"/>
      <c r="K179" t="str">
        <f t="shared" si="2"/>
        <v/>
      </c>
    </row>
    <row r="180" spans="2:11">
      <c r="B180" s="5"/>
      <c r="I180" s="4"/>
      <c r="J180" s="4"/>
      <c r="K180" t="str">
        <f t="shared" si="2"/>
        <v/>
      </c>
    </row>
    <row r="181" spans="2:11">
      <c r="B181" s="5"/>
      <c r="I181" s="4"/>
      <c r="J181" s="4"/>
      <c r="K181" t="str">
        <f t="shared" si="2"/>
        <v/>
      </c>
    </row>
    <row r="182" spans="2:11">
      <c r="B182" s="5"/>
      <c r="I182" s="4"/>
      <c r="J182" s="4"/>
      <c r="K182" t="str">
        <f t="shared" si="2"/>
        <v/>
      </c>
    </row>
    <row r="183" spans="2:11">
      <c r="B183" s="5"/>
      <c r="I183" s="4"/>
      <c r="J183" s="4"/>
      <c r="K183" t="str">
        <f t="shared" si="2"/>
        <v/>
      </c>
    </row>
    <row r="184" spans="2:11">
      <c r="B184" s="5"/>
      <c r="I184" s="4"/>
      <c r="J184" s="4"/>
      <c r="K184" t="str">
        <f t="shared" si="2"/>
        <v/>
      </c>
    </row>
    <row r="185" spans="2:11">
      <c r="B185" s="5"/>
      <c r="I185" s="4"/>
      <c r="J185" s="4"/>
      <c r="K185" t="str">
        <f t="shared" si="2"/>
        <v/>
      </c>
    </row>
    <row r="186" spans="2:11">
      <c r="B186" s="5"/>
      <c r="I186" s="4"/>
      <c r="J186" s="4"/>
      <c r="K186" t="str">
        <f t="shared" si="2"/>
        <v/>
      </c>
    </row>
    <row r="187" spans="2:11">
      <c r="B187" s="5"/>
      <c r="I187" s="4"/>
      <c r="J187" s="4"/>
      <c r="K187" t="str">
        <f t="shared" si="2"/>
        <v/>
      </c>
    </row>
    <row r="188" spans="2:11">
      <c r="B188" s="5"/>
      <c r="I188" s="4"/>
      <c r="J188" s="4"/>
      <c r="K188" t="str">
        <f t="shared" si="2"/>
        <v/>
      </c>
    </row>
    <row r="189" spans="2:11">
      <c r="B189" s="5"/>
      <c r="I189" s="4"/>
      <c r="J189" s="4"/>
      <c r="K189" t="str">
        <f t="shared" si="2"/>
        <v/>
      </c>
    </row>
    <row r="190" spans="2:11">
      <c r="B190" s="5"/>
      <c r="I190" s="4"/>
      <c r="J190" s="4"/>
      <c r="K190" t="str">
        <f t="shared" si="2"/>
        <v/>
      </c>
    </row>
    <row r="191" spans="2:11">
      <c r="B191" s="5"/>
      <c r="I191" s="4"/>
      <c r="J191" s="4"/>
      <c r="K191" t="str">
        <f t="shared" si="2"/>
        <v/>
      </c>
    </row>
    <row r="192" spans="2:11">
      <c r="B192" s="5"/>
      <c r="I192" s="4"/>
      <c r="J192" s="4"/>
      <c r="K192" t="str">
        <f t="shared" si="2"/>
        <v/>
      </c>
    </row>
    <row r="193" spans="2:11">
      <c r="B193" s="5"/>
      <c r="I193" s="4"/>
      <c r="J193" s="4"/>
      <c r="K193" t="str">
        <f t="shared" si="2"/>
        <v/>
      </c>
    </row>
    <row r="194" spans="2:11">
      <c r="B194" s="5"/>
      <c r="I194" s="4"/>
      <c r="J194" s="4"/>
      <c r="K194" t="str">
        <f t="shared" ref="K194:K257" si="3">IF(OR(I194="",J194=""),"",MOD(J194-I194,1)*1440)</f>
        <v/>
      </c>
    </row>
    <row r="195" spans="2:11">
      <c r="B195" s="5"/>
      <c r="I195" s="4"/>
      <c r="J195" s="4"/>
      <c r="K195" t="str">
        <f t="shared" si="3"/>
        <v/>
      </c>
    </row>
    <row r="196" spans="2:11">
      <c r="B196" s="5"/>
      <c r="I196" s="4"/>
      <c r="J196" s="4"/>
      <c r="K196" t="str">
        <f t="shared" si="3"/>
        <v/>
      </c>
    </row>
    <row r="197" spans="2:11">
      <c r="B197" s="5"/>
      <c r="I197" s="4"/>
      <c r="J197" s="4"/>
      <c r="K197" t="str">
        <f t="shared" si="3"/>
        <v/>
      </c>
    </row>
    <row r="198" spans="2:11">
      <c r="B198" s="5"/>
      <c r="I198" s="4"/>
      <c r="J198" s="4"/>
      <c r="K198" t="str">
        <f t="shared" si="3"/>
        <v/>
      </c>
    </row>
    <row r="199" spans="2:11">
      <c r="B199" s="5"/>
      <c r="I199" s="4"/>
      <c r="J199" s="4"/>
      <c r="K199" t="str">
        <f t="shared" si="3"/>
        <v/>
      </c>
    </row>
    <row r="200" spans="2:11">
      <c r="B200" s="5"/>
      <c r="I200" s="4"/>
      <c r="J200" s="4"/>
      <c r="K200" t="str">
        <f t="shared" si="3"/>
        <v/>
      </c>
    </row>
    <row r="201" spans="2:11">
      <c r="B201" s="5"/>
      <c r="I201" s="4"/>
      <c r="J201" s="4"/>
      <c r="K201" t="str">
        <f t="shared" si="3"/>
        <v/>
      </c>
    </row>
    <row r="202" spans="2:11">
      <c r="B202" s="5"/>
      <c r="I202" s="4"/>
      <c r="J202" s="4"/>
      <c r="K202" t="str">
        <f t="shared" si="3"/>
        <v/>
      </c>
    </row>
    <row r="203" spans="2:11">
      <c r="B203" s="5"/>
      <c r="I203" s="4"/>
      <c r="J203" s="4"/>
      <c r="K203" t="str">
        <f t="shared" si="3"/>
        <v/>
      </c>
    </row>
    <row r="204" spans="2:11">
      <c r="B204" s="5"/>
      <c r="I204" s="4"/>
      <c r="J204" s="4"/>
      <c r="K204" t="str">
        <f t="shared" si="3"/>
        <v/>
      </c>
    </row>
    <row r="205" spans="2:11">
      <c r="B205" s="5"/>
      <c r="I205" s="4"/>
      <c r="J205" s="4"/>
      <c r="K205" t="str">
        <f t="shared" si="3"/>
        <v/>
      </c>
    </row>
    <row r="206" spans="2:11">
      <c r="B206" s="5"/>
      <c r="I206" s="4"/>
      <c r="J206" s="4"/>
      <c r="K206" t="str">
        <f t="shared" si="3"/>
        <v/>
      </c>
    </row>
    <row r="207" spans="2:11">
      <c r="B207" s="5"/>
      <c r="I207" s="4"/>
      <c r="J207" s="4"/>
      <c r="K207" t="str">
        <f t="shared" si="3"/>
        <v/>
      </c>
    </row>
    <row r="208" spans="2:11">
      <c r="B208" s="5"/>
      <c r="I208" s="4"/>
      <c r="J208" s="4"/>
      <c r="K208" t="str">
        <f t="shared" si="3"/>
        <v/>
      </c>
    </row>
    <row r="209" spans="2:11">
      <c r="B209" s="5"/>
      <c r="I209" s="4"/>
      <c r="J209" s="4"/>
      <c r="K209" t="str">
        <f t="shared" si="3"/>
        <v/>
      </c>
    </row>
    <row r="210" spans="2:11">
      <c r="B210" s="5"/>
      <c r="I210" s="4"/>
      <c r="J210" s="4"/>
      <c r="K210" t="str">
        <f t="shared" si="3"/>
        <v/>
      </c>
    </row>
    <row r="211" spans="2:11">
      <c r="B211" s="5"/>
      <c r="I211" s="4"/>
      <c r="J211" s="4"/>
      <c r="K211" t="str">
        <f t="shared" si="3"/>
        <v/>
      </c>
    </row>
    <row r="212" spans="2:11">
      <c r="B212" s="5"/>
      <c r="I212" s="4"/>
      <c r="J212" s="4"/>
      <c r="K212" t="str">
        <f t="shared" si="3"/>
        <v/>
      </c>
    </row>
    <row r="213" spans="2:11">
      <c r="B213" s="5"/>
      <c r="I213" s="4"/>
      <c r="J213" s="4"/>
      <c r="K213" t="str">
        <f t="shared" si="3"/>
        <v/>
      </c>
    </row>
    <row r="214" spans="2:11">
      <c r="B214" s="5"/>
      <c r="I214" s="4"/>
      <c r="J214" s="4"/>
      <c r="K214" t="str">
        <f t="shared" si="3"/>
        <v/>
      </c>
    </row>
    <row r="215" spans="2:11">
      <c r="B215" s="5"/>
      <c r="I215" s="4"/>
      <c r="J215" s="4"/>
      <c r="K215" t="str">
        <f t="shared" si="3"/>
        <v/>
      </c>
    </row>
    <row r="216" spans="2:11">
      <c r="B216" s="5"/>
      <c r="I216" s="4"/>
      <c r="J216" s="4"/>
      <c r="K216" t="str">
        <f t="shared" si="3"/>
        <v/>
      </c>
    </row>
    <row r="217" spans="2:11">
      <c r="B217" s="5"/>
      <c r="I217" s="4"/>
      <c r="J217" s="4"/>
      <c r="K217" t="str">
        <f t="shared" si="3"/>
        <v/>
      </c>
    </row>
    <row r="218" spans="2:11">
      <c r="B218" s="5"/>
      <c r="I218" s="4"/>
      <c r="J218" s="4"/>
      <c r="K218" t="str">
        <f t="shared" si="3"/>
        <v/>
      </c>
    </row>
    <row r="219" spans="2:11">
      <c r="B219" s="5"/>
      <c r="I219" s="4"/>
      <c r="J219" s="4"/>
      <c r="K219" t="str">
        <f t="shared" si="3"/>
        <v/>
      </c>
    </row>
    <row r="220" spans="2:11">
      <c r="B220" s="5"/>
      <c r="I220" s="4"/>
      <c r="J220" s="4"/>
      <c r="K220" t="str">
        <f t="shared" si="3"/>
        <v/>
      </c>
    </row>
    <row r="221" spans="2:11">
      <c r="B221" s="5"/>
      <c r="I221" s="4"/>
      <c r="J221" s="4"/>
      <c r="K221" t="str">
        <f t="shared" si="3"/>
        <v/>
      </c>
    </row>
    <row r="222" spans="2:11">
      <c r="B222" s="5"/>
      <c r="I222" s="4"/>
      <c r="J222" s="4"/>
      <c r="K222" t="str">
        <f t="shared" si="3"/>
        <v/>
      </c>
    </row>
    <row r="223" spans="2:11">
      <c r="B223" s="5"/>
      <c r="I223" s="4"/>
      <c r="J223" s="4"/>
      <c r="K223" t="str">
        <f t="shared" si="3"/>
        <v/>
      </c>
    </row>
    <row r="224" spans="2:11">
      <c r="B224" s="5"/>
      <c r="I224" s="4"/>
      <c r="J224" s="4"/>
      <c r="K224" t="str">
        <f t="shared" si="3"/>
        <v/>
      </c>
    </row>
    <row r="225" spans="2:11">
      <c r="B225" s="5"/>
      <c r="I225" s="4"/>
      <c r="J225" s="4"/>
      <c r="K225" t="str">
        <f t="shared" si="3"/>
        <v/>
      </c>
    </row>
    <row r="226" spans="2:11">
      <c r="B226" s="5"/>
      <c r="I226" s="4"/>
      <c r="J226" s="4"/>
      <c r="K226" t="str">
        <f t="shared" si="3"/>
        <v/>
      </c>
    </row>
    <row r="227" spans="2:11">
      <c r="B227" s="5"/>
      <c r="I227" s="4"/>
      <c r="J227" s="4"/>
      <c r="K227" t="str">
        <f t="shared" si="3"/>
        <v/>
      </c>
    </row>
    <row r="228" spans="2:11">
      <c r="B228" s="5"/>
      <c r="I228" s="4"/>
      <c r="J228" s="4"/>
      <c r="K228" t="str">
        <f t="shared" si="3"/>
        <v/>
      </c>
    </row>
    <row r="229" spans="2:11">
      <c r="B229" s="5"/>
      <c r="I229" s="4"/>
      <c r="J229" s="4"/>
      <c r="K229" t="str">
        <f t="shared" si="3"/>
        <v/>
      </c>
    </row>
    <row r="230" spans="2:11">
      <c r="B230" s="5"/>
      <c r="I230" s="4"/>
      <c r="J230" s="4"/>
      <c r="K230" t="str">
        <f t="shared" si="3"/>
        <v/>
      </c>
    </row>
    <row r="231" spans="2:11">
      <c r="B231" s="5"/>
      <c r="I231" s="4"/>
      <c r="J231" s="4"/>
      <c r="K231" t="str">
        <f t="shared" si="3"/>
        <v/>
      </c>
    </row>
    <row r="232" spans="2:11">
      <c r="B232" s="5"/>
      <c r="I232" s="4"/>
      <c r="J232" s="4"/>
      <c r="K232" t="str">
        <f t="shared" si="3"/>
        <v/>
      </c>
    </row>
    <row r="233" spans="2:11">
      <c r="B233" s="5"/>
      <c r="I233" s="4"/>
      <c r="J233" s="4"/>
      <c r="K233" t="str">
        <f t="shared" si="3"/>
        <v/>
      </c>
    </row>
    <row r="234" spans="2:11">
      <c r="B234" s="5"/>
      <c r="I234" s="4"/>
      <c r="J234" s="4"/>
      <c r="K234" t="str">
        <f t="shared" si="3"/>
        <v/>
      </c>
    </row>
    <row r="235" spans="2:11">
      <c r="B235" s="5"/>
      <c r="I235" s="4"/>
      <c r="J235" s="4"/>
      <c r="K235" t="str">
        <f t="shared" si="3"/>
        <v/>
      </c>
    </row>
    <row r="236" spans="2:11">
      <c r="B236" s="5"/>
      <c r="I236" s="4"/>
      <c r="J236" s="4"/>
      <c r="K236" t="str">
        <f t="shared" si="3"/>
        <v/>
      </c>
    </row>
    <row r="237" spans="2:11">
      <c r="B237" s="5"/>
      <c r="I237" s="4"/>
      <c r="J237" s="4"/>
      <c r="K237" t="str">
        <f t="shared" si="3"/>
        <v/>
      </c>
    </row>
    <row r="238" spans="2:11">
      <c r="B238" s="5"/>
      <c r="I238" s="4"/>
      <c r="J238" s="4"/>
      <c r="K238" t="str">
        <f t="shared" si="3"/>
        <v/>
      </c>
    </row>
    <row r="239" spans="2:11">
      <c r="B239" s="5"/>
      <c r="I239" s="4"/>
      <c r="J239" s="4"/>
      <c r="K239" t="str">
        <f t="shared" si="3"/>
        <v/>
      </c>
    </row>
    <row r="240" spans="2:11">
      <c r="B240" s="5"/>
      <c r="I240" s="4"/>
      <c r="J240" s="4"/>
      <c r="K240" t="str">
        <f t="shared" si="3"/>
        <v/>
      </c>
    </row>
    <row r="241" spans="2:11">
      <c r="B241" s="5"/>
      <c r="I241" s="4"/>
      <c r="J241" s="4"/>
      <c r="K241" t="str">
        <f t="shared" si="3"/>
        <v/>
      </c>
    </row>
    <row r="242" spans="2:11">
      <c r="B242" s="5"/>
      <c r="I242" s="4"/>
      <c r="J242" s="4"/>
      <c r="K242" t="str">
        <f t="shared" si="3"/>
        <v/>
      </c>
    </row>
    <row r="243" spans="2:11">
      <c r="B243" s="5"/>
      <c r="I243" s="4"/>
      <c r="J243" s="4"/>
      <c r="K243" t="str">
        <f t="shared" si="3"/>
        <v/>
      </c>
    </row>
    <row r="244" spans="2:11">
      <c r="B244" s="5"/>
      <c r="I244" s="4"/>
      <c r="J244" s="4"/>
      <c r="K244" t="str">
        <f t="shared" si="3"/>
        <v/>
      </c>
    </row>
    <row r="245" spans="2:11">
      <c r="B245" s="5"/>
      <c r="I245" s="4"/>
      <c r="J245" s="4"/>
      <c r="K245" t="str">
        <f t="shared" si="3"/>
        <v/>
      </c>
    </row>
    <row r="246" spans="2:11">
      <c r="B246" s="5"/>
      <c r="I246" s="4"/>
      <c r="J246" s="4"/>
      <c r="K246" t="str">
        <f t="shared" si="3"/>
        <v/>
      </c>
    </row>
    <row r="247" spans="2:11">
      <c r="B247" s="5"/>
      <c r="I247" s="4"/>
      <c r="J247" s="4"/>
      <c r="K247" t="str">
        <f t="shared" si="3"/>
        <v/>
      </c>
    </row>
    <row r="248" spans="2:11">
      <c r="B248" s="5"/>
      <c r="I248" s="4"/>
      <c r="J248" s="4"/>
      <c r="K248" t="str">
        <f t="shared" si="3"/>
        <v/>
      </c>
    </row>
    <row r="249" spans="2:11">
      <c r="B249" s="5"/>
      <c r="I249" s="4"/>
      <c r="J249" s="4"/>
      <c r="K249" t="str">
        <f t="shared" si="3"/>
        <v/>
      </c>
    </row>
    <row r="250" spans="2:11">
      <c r="B250" s="5"/>
      <c r="I250" s="4"/>
      <c r="J250" s="4"/>
      <c r="K250" t="str">
        <f t="shared" si="3"/>
        <v/>
      </c>
    </row>
    <row r="251" spans="2:11">
      <c r="B251" s="5"/>
      <c r="I251" s="4"/>
      <c r="J251" s="4"/>
      <c r="K251" t="str">
        <f t="shared" si="3"/>
        <v/>
      </c>
    </row>
    <row r="252" spans="2:11">
      <c r="B252" s="5"/>
      <c r="I252" s="4"/>
      <c r="J252" s="4"/>
      <c r="K252" t="str">
        <f t="shared" si="3"/>
        <v/>
      </c>
    </row>
    <row r="253" spans="2:11">
      <c r="B253" s="5"/>
      <c r="I253" s="4"/>
      <c r="J253" s="4"/>
      <c r="K253" t="str">
        <f t="shared" si="3"/>
        <v/>
      </c>
    </row>
    <row r="254" spans="2:11">
      <c r="B254" s="5"/>
      <c r="I254" s="4"/>
      <c r="J254" s="4"/>
      <c r="K254" t="str">
        <f t="shared" si="3"/>
        <v/>
      </c>
    </row>
    <row r="255" spans="2:11">
      <c r="B255" s="5"/>
      <c r="I255" s="4"/>
      <c r="J255" s="4"/>
      <c r="K255" t="str">
        <f t="shared" si="3"/>
        <v/>
      </c>
    </row>
    <row r="256" spans="2:11">
      <c r="B256" s="5"/>
      <c r="I256" s="4"/>
      <c r="J256" s="4"/>
      <c r="K256" t="str">
        <f t="shared" si="3"/>
        <v/>
      </c>
    </row>
    <row r="257" spans="2:11">
      <c r="B257" s="5"/>
      <c r="I257" s="4"/>
      <c r="J257" s="4"/>
      <c r="K257" t="str">
        <f t="shared" si="3"/>
        <v/>
      </c>
    </row>
    <row r="258" spans="2:11">
      <c r="B258" s="5"/>
      <c r="I258" s="4"/>
      <c r="J258" s="4"/>
      <c r="K258" t="str">
        <f t="shared" ref="K258:K301" si="4">IF(OR(I258="",J258=""),"",MOD(J258-I258,1)*1440)</f>
        <v/>
      </c>
    </row>
    <row r="259" spans="2:11">
      <c r="B259" s="5"/>
      <c r="I259" s="4"/>
      <c r="J259" s="4"/>
      <c r="K259" t="str">
        <f t="shared" si="4"/>
        <v/>
      </c>
    </row>
    <row r="260" spans="2:11">
      <c r="B260" s="5"/>
      <c r="I260" s="4"/>
      <c r="J260" s="4"/>
      <c r="K260" t="str">
        <f t="shared" si="4"/>
        <v/>
      </c>
    </row>
    <row r="261" spans="2:11">
      <c r="B261" s="5"/>
      <c r="I261" s="4"/>
      <c r="J261" s="4"/>
      <c r="K261" t="str">
        <f t="shared" si="4"/>
        <v/>
      </c>
    </row>
    <row r="262" spans="2:11">
      <c r="B262" s="5"/>
      <c r="I262" s="4"/>
      <c r="J262" s="4"/>
      <c r="K262" t="str">
        <f t="shared" si="4"/>
        <v/>
      </c>
    </row>
    <row r="263" spans="2:11">
      <c r="B263" s="5"/>
      <c r="I263" s="4"/>
      <c r="J263" s="4"/>
      <c r="K263" t="str">
        <f t="shared" si="4"/>
        <v/>
      </c>
    </row>
    <row r="264" spans="2:11">
      <c r="B264" s="5"/>
      <c r="I264" s="4"/>
      <c r="J264" s="4"/>
      <c r="K264" t="str">
        <f t="shared" si="4"/>
        <v/>
      </c>
    </row>
    <row r="265" spans="2:11">
      <c r="B265" s="5"/>
      <c r="I265" s="4"/>
      <c r="J265" s="4"/>
      <c r="K265" t="str">
        <f t="shared" si="4"/>
        <v/>
      </c>
    </row>
    <row r="266" spans="2:11">
      <c r="B266" s="5"/>
      <c r="I266" s="4"/>
      <c r="J266" s="4"/>
      <c r="K266" t="str">
        <f t="shared" si="4"/>
        <v/>
      </c>
    </row>
    <row r="267" spans="2:11">
      <c r="B267" s="5"/>
      <c r="I267" s="4"/>
      <c r="J267" s="4"/>
      <c r="K267" t="str">
        <f t="shared" si="4"/>
        <v/>
      </c>
    </row>
    <row r="268" spans="2:11">
      <c r="B268" s="5"/>
      <c r="I268" s="4"/>
      <c r="J268" s="4"/>
      <c r="K268" t="str">
        <f t="shared" si="4"/>
        <v/>
      </c>
    </row>
    <row r="269" spans="2:11">
      <c r="B269" s="5"/>
      <c r="I269" s="4"/>
      <c r="J269" s="4"/>
      <c r="K269" t="str">
        <f t="shared" si="4"/>
        <v/>
      </c>
    </row>
    <row r="270" spans="2:11">
      <c r="B270" s="5"/>
      <c r="I270" s="4"/>
      <c r="J270" s="4"/>
      <c r="K270" t="str">
        <f t="shared" si="4"/>
        <v/>
      </c>
    </row>
    <row r="271" spans="2:11">
      <c r="B271" s="5"/>
      <c r="I271" s="4"/>
      <c r="J271" s="4"/>
      <c r="K271" t="str">
        <f t="shared" si="4"/>
        <v/>
      </c>
    </row>
    <row r="272" spans="2:11">
      <c r="B272" s="5"/>
      <c r="I272" s="4"/>
      <c r="J272" s="4"/>
      <c r="K272" t="str">
        <f t="shared" si="4"/>
        <v/>
      </c>
    </row>
    <row r="273" spans="2:11">
      <c r="B273" s="5"/>
      <c r="I273" s="4"/>
      <c r="J273" s="4"/>
      <c r="K273" t="str">
        <f t="shared" si="4"/>
        <v/>
      </c>
    </row>
    <row r="274" spans="2:11">
      <c r="B274" s="5"/>
      <c r="I274" s="4"/>
      <c r="J274" s="4"/>
      <c r="K274" t="str">
        <f t="shared" si="4"/>
        <v/>
      </c>
    </row>
    <row r="275" spans="2:11">
      <c r="B275" s="5"/>
      <c r="I275" s="4"/>
      <c r="J275" s="4"/>
      <c r="K275" t="str">
        <f t="shared" si="4"/>
        <v/>
      </c>
    </row>
    <row r="276" spans="2:11">
      <c r="B276" s="5"/>
      <c r="I276" s="4"/>
      <c r="J276" s="4"/>
      <c r="K276" t="str">
        <f t="shared" si="4"/>
        <v/>
      </c>
    </row>
    <row r="277" spans="2:11">
      <c r="B277" s="5"/>
      <c r="I277" s="4"/>
      <c r="J277" s="4"/>
      <c r="K277" t="str">
        <f t="shared" si="4"/>
        <v/>
      </c>
    </row>
    <row r="278" spans="2:11">
      <c r="B278" s="5"/>
      <c r="I278" s="4"/>
      <c r="J278" s="4"/>
      <c r="K278" t="str">
        <f t="shared" si="4"/>
        <v/>
      </c>
    </row>
    <row r="279" spans="2:11">
      <c r="B279" s="5"/>
      <c r="I279" s="4"/>
      <c r="J279" s="4"/>
      <c r="K279" t="str">
        <f t="shared" si="4"/>
        <v/>
      </c>
    </row>
    <row r="280" spans="2:11">
      <c r="B280" s="5"/>
      <c r="I280" s="4"/>
      <c r="J280" s="4"/>
      <c r="K280" t="str">
        <f t="shared" si="4"/>
        <v/>
      </c>
    </row>
    <row r="281" spans="2:11">
      <c r="B281" s="5"/>
      <c r="I281" s="4"/>
      <c r="J281" s="4"/>
      <c r="K281" t="str">
        <f t="shared" si="4"/>
        <v/>
      </c>
    </row>
    <row r="282" spans="2:11">
      <c r="B282" s="5"/>
      <c r="I282" s="4"/>
      <c r="J282" s="4"/>
      <c r="K282" t="str">
        <f t="shared" si="4"/>
        <v/>
      </c>
    </row>
    <row r="283" spans="2:11">
      <c r="B283" s="5"/>
      <c r="I283" s="4"/>
      <c r="J283" s="4"/>
      <c r="K283" t="str">
        <f t="shared" si="4"/>
        <v/>
      </c>
    </row>
    <row r="284" spans="2:11">
      <c r="B284" s="5"/>
      <c r="I284" s="4"/>
      <c r="J284" s="4"/>
      <c r="K284" t="str">
        <f t="shared" si="4"/>
        <v/>
      </c>
    </row>
    <row r="285" spans="2:11">
      <c r="B285" s="5"/>
      <c r="I285" s="4"/>
      <c r="J285" s="4"/>
      <c r="K285" t="str">
        <f t="shared" si="4"/>
        <v/>
      </c>
    </row>
    <row r="286" spans="2:11">
      <c r="B286" s="5"/>
      <c r="I286" s="4"/>
      <c r="J286" s="4"/>
      <c r="K286" t="str">
        <f t="shared" si="4"/>
        <v/>
      </c>
    </row>
    <row r="287" spans="2:11">
      <c r="B287" s="5"/>
      <c r="I287" s="4"/>
      <c r="J287" s="4"/>
      <c r="K287" t="str">
        <f t="shared" si="4"/>
        <v/>
      </c>
    </row>
    <row r="288" spans="2:11">
      <c r="B288" s="5"/>
      <c r="I288" s="4"/>
      <c r="J288" s="4"/>
      <c r="K288" t="str">
        <f t="shared" si="4"/>
        <v/>
      </c>
    </row>
    <row r="289" spans="2:11">
      <c r="B289" s="5"/>
      <c r="I289" s="4"/>
      <c r="J289" s="4"/>
      <c r="K289" t="str">
        <f t="shared" si="4"/>
        <v/>
      </c>
    </row>
    <row r="290" spans="2:11">
      <c r="B290" s="5"/>
      <c r="I290" s="4"/>
      <c r="J290" s="4"/>
      <c r="K290" t="str">
        <f t="shared" si="4"/>
        <v/>
      </c>
    </row>
    <row r="291" spans="2:11">
      <c r="B291" s="5"/>
      <c r="I291" s="4"/>
      <c r="J291" s="4"/>
      <c r="K291" t="str">
        <f t="shared" si="4"/>
        <v/>
      </c>
    </row>
    <row r="292" spans="2:11">
      <c r="B292" s="5"/>
      <c r="I292" s="4"/>
      <c r="J292" s="4"/>
      <c r="K292" t="str">
        <f t="shared" si="4"/>
        <v/>
      </c>
    </row>
    <row r="293" spans="2:11">
      <c r="B293" s="5"/>
      <c r="I293" s="4"/>
      <c r="J293" s="4"/>
      <c r="K293" t="str">
        <f t="shared" si="4"/>
        <v/>
      </c>
    </row>
    <row r="294" spans="2:11">
      <c r="B294" s="5"/>
      <c r="I294" s="4"/>
      <c r="J294" s="4"/>
      <c r="K294" t="str">
        <f t="shared" si="4"/>
        <v/>
      </c>
    </row>
    <row r="295" spans="2:11">
      <c r="B295" s="5"/>
      <c r="I295" s="4"/>
      <c r="J295" s="4"/>
      <c r="K295" t="str">
        <f t="shared" si="4"/>
        <v/>
      </c>
    </row>
    <row r="296" spans="2:11">
      <c r="B296" s="5"/>
      <c r="I296" s="4"/>
      <c r="J296" s="4"/>
      <c r="K296" t="str">
        <f t="shared" si="4"/>
        <v/>
      </c>
    </row>
    <row r="297" spans="2:11">
      <c r="B297" s="5"/>
      <c r="I297" s="4"/>
      <c r="J297" s="4"/>
      <c r="K297" t="str">
        <f t="shared" si="4"/>
        <v/>
      </c>
    </row>
    <row r="298" spans="2:11">
      <c r="B298" s="5"/>
      <c r="I298" s="4"/>
      <c r="J298" s="4"/>
      <c r="K298" t="str">
        <f t="shared" si="4"/>
        <v/>
      </c>
    </row>
    <row r="299" spans="2:11">
      <c r="B299" s="5"/>
      <c r="I299" s="4"/>
      <c r="J299" s="4"/>
      <c r="K299" t="str">
        <f t="shared" si="4"/>
        <v/>
      </c>
    </row>
    <row r="300" spans="2:11">
      <c r="B300" s="5"/>
      <c r="I300" s="4"/>
      <c r="J300" s="4"/>
      <c r="K300" t="str">
        <f t="shared" si="4"/>
        <v/>
      </c>
    </row>
    <row r="301" spans="2:11">
      <c r="B301" s="5"/>
      <c r="I301" s="4"/>
      <c r="J301" s="4"/>
      <c r="K301" t="str">
        <f t="shared" si="4"/>
        <v/>
      </c>
    </row>
  </sheetData>
  <dataValidations count="2">
    <dataValidation type="list" sqref="G2:G301" xr:uid="{00000000-0002-0000-0000-000000000000}">
      <formula1>"UCSD Wi-Fi,Cellular,Hotspot,Other,Offline"</formula1>
    </dataValidation>
    <dataValidation type="list" sqref="O2:O301 S2:T301 R2:R16 R18:R301" xr:uid="{00000000-0002-0000-0000-000001000000}">
      <formula1>"Yes,No,Partial,Not tested"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3203125" defaultRowHeight="15"/>
  <cols>
    <col min="1" max="8" width="23" customWidth="1"/>
    <col min="9" max="9" width="38" customWidth="1"/>
    <col min="10" max="10" width="23" customWidth="1"/>
  </cols>
  <sheetData>
    <row r="1" spans="1:10" ht="42.75" customHeight="1">
      <c r="A1" s="3" t="s">
        <v>3</v>
      </c>
      <c r="B1" s="3" t="s">
        <v>4</v>
      </c>
      <c r="C1" s="3" t="s">
        <v>5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spans="1:1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</row>
    <row r="3" spans="1:10">
      <c r="A3" t="s">
        <v>39</v>
      </c>
      <c r="B3" t="s">
        <v>40</v>
      </c>
      <c r="C3" t="s">
        <v>41</v>
      </c>
      <c r="D3" t="s">
        <v>42</v>
      </c>
      <c r="E3" t="s">
        <v>34</v>
      </c>
      <c r="F3" t="s">
        <v>35</v>
      </c>
      <c r="G3" t="s">
        <v>36</v>
      </c>
      <c r="H3" t="s">
        <v>37</v>
      </c>
      <c r="I3" t="s">
        <v>43</v>
      </c>
    </row>
    <row r="4" spans="1:10">
      <c r="A4" t="s">
        <v>44</v>
      </c>
      <c r="B4" t="s">
        <v>32</v>
      </c>
      <c r="C4" t="s">
        <v>45</v>
      </c>
      <c r="D4" t="s">
        <v>42</v>
      </c>
      <c r="E4" t="s">
        <v>34</v>
      </c>
      <c r="F4" t="s">
        <v>35</v>
      </c>
      <c r="G4" t="s">
        <v>36</v>
      </c>
      <c r="H4" t="s">
        <v>46</v>
      </c>
      <c r="I4" t="s">
        <v>47</v>
      </c>
    </row>
    <row r="5" spans="1:10">
      <c r="A5" t="s">
        <v>48</v>
      </c>
      <c r="B5" t="s">
        <v>31</v>
      </c>
      <c r="C5" t="s">
        <v>49</v>
      </c>
      <c r="D5" t="s">
        <v>42</v>
      </c>
      <c r="E5" t="s">
        <v>34</v>
      </c>
      <c r="F5" t="s">
        <v>35</v>
      </c>
      <c r="G5" t="s">
        <v>36</v>
      </c>
      <c r="H5" t="s">
        <v>46</v>
      </c>
      <c r="I5" t="s">
        <v>50</v>
      </c>
    </row>
    <row r="6" spans="1:10">
      <c r="A6" t="s">
        <v>51</v>
      </c>
      <c r="B6" t="s">
        <v>52</v>
      </c>
      <c r="C6" t="s">
        <v>53</v>
      </c>
      <c r="D6" t="s">
        <v>54</v>
      </c>
      <c r="E6" t="s">
        <v>34</v>
      </c>
      <c r="F6" t="s">
        <v>35</v>
      </c>
      <c r="G6" t="s">
        <v>36</v>
      </c>
      <c r="H6" t="s">
        <v>46</v>
      </c>
      <c r="I6" t="s">
        <v>55</v>
      </c>
    </row>
    <row r="7" spans="1:10">
      <c r="A7" t="s">
        <v>56</v>
      </c>
      <c r="B7" t="s">
        <v>41</v>
      </c>
      <c r="C7" t="s">
        <v>57</v>
      </c>
      <c r="D7" t="s">
        <v>54</v>
      </c>
      <c r="E7" t="s">
        <v>34</v>
      </c>
      <c r="F7" t="s">
        <v>35</v>
      </c>
      <c r="G7" t="s">
        <v>36</v>
      </c>
      <c r="H7" t="s">
        <v>46</v>
      </c>
      <c r="I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baseColWidth="10" defaultColWidth="8.83203125" defaultRowHeight="15"/>
  <cols>
    <col min="1" max="5" width="24" customWidth="1"/>
    <col min="6" max="7" width="40" customWidth="1"/>
    <col min="8" max="9" width="24" customWidth="1"/>
    <col min="10" max="10" width="38" customWidth="1"/>
  </cols>
  <sheetData>
    <row r="1" spans="1:10" ht="42.75" customHeight="1">
      <c r="A1" s="2" t="s">
        <v>59</v>
      </c>
      <c r="B1" s="2" t="s">
        <v>1</v>
      </c>
      <c r="C1" s="2" t="s">
        <v>0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</row>
  </sheetData>
  <dataValidations count="2">
    <dataValidation type="list" sqref="E2:E201" xr:uid="{00000000-0002-0000-0200-000000000000}">
      <formula1>"Critical,High,Medium,Low"</formula1>
    </dataValidation>
    <dataValidation type="list" sqref="H2:H201" xr:uid="{00000000-0002-0000-0200-000001000000}">
      <formula1>"Open,Investigating,Fixed,Retest needed,Closed"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baseColWidth="10" defaultColWidth="8.83203125" defaultRowHeight="15"/>
  <cols>
    <col min="1" max="1" width="36" customWidth="1"/>
    <col min="2" max="2" width="23" customWidth="1"/>
  </cols>
  <sheetData>
    <row r="1" spans="1:4" ht="48" customHeight="1">
      <c r="A1" s="10" t="s">
        <v>67</v>
      </c>
      <c r="B1" s="10"/>
      <c r="C1" s="10"/>
      <c r="D1" s="10"/>
    </row>
    <row r="3" spans="1:4">
      <c r="A3" s="8" t="s">
        <v>68</v>
      </c>
      <c r="B3" s="8" t="s">
        <v>69</v>
      </c>
    </row>
    <row r="4" spans="1:4">
      <c r="A4" t="s">
        <v>70</v>
      </c>
      <c r="B4">
        <f>COUNTA('Field Trials'!A2:A301)</f>
        <v>41</v>
      </c>
    </row>
    <row r="5" spans="1:4">
      <c r="A5" t="s">
        <v>71</v>
      </c>
      <c r="B5">
        <f>COUNTIF('Field Trials'!O2:O301,"Yes")</f>
        <v>40</v>
      </c>
    </row>
    <row r="6" spans="1:4">
      <c r="A6" t="s">
        <v>72</v>
      </c>
      <c r="B6" s="7">
        <f>IFERROR(B5/B4,0)</f>
        <v>0.97560975609756095</v>
      </c>
    </row>
    <row r="7" spans="1:4">
      <c r="A7" t="s">
        <v>73</v>
      </c>
      <c r="B7">
        <f>IFERROR(AVERAGE('Field Trials'!K2:K301),0)</f>
        <v>5.6800000000000015</v>
      </c>
    </row>
    <row r="8" spans="1:4">
      <c r="A8" t="s">
        <v>74</v>
      </c>
      <c r="B8">
        <f>IFERROR(AVERAGE('Field Trials'!L2:L301),0)</f>
        <v>6.44</v>
      </c>
    </row>
    <row r="9" spans="1:4">
      <c r="A9" t="s">
        <v>75</v>
      </c>
      <c r="B9">
        <f>COUNTA('Issue Log'!A2:A201)</f>
        <v>0</v>
      </c>
    </row>
    <row r="11" spans="1:4">
      <c r="A11" s="10" t="s">
        <v>76</v>
      </c>
      <c r="B11" s="10"/>
      <c r="C11" s="10"/>
      <c r="D11" s="10"/>
    </row>
    <row r="12" spans="1:4" ht="45.25" customHeight="1">
      <c r="A12" s="11" t="s">
        <v>77</v>
      </c>
      <c r="B12" s="11"/>
      <c r="C12" s="11"/>
      <c r="D12" s="11"/>
    </row>
    <row r="13" spans="1:4" ht="45.25" customHeight="1">
      <c r="A13" s="11" t="s">
        <v>78</v>
      </c>
      <c r="B13" s="11"/>
      <c r="C13" s="11"/>
      <c r="D13" s="11"/>
    </row>
    <row r="14" spans="1:4" ht="45.25" customHeight="1">
      <c r="A14" s="11" t="s">
        <v>79</v>
      </c>
      <c r="B14" s="11"/>
      <c r="C14" s="11"/>
      <c r="D14" s="11"/>
    </row>
  </sheetData>
  <mergeCells count="5">
    <mergeCell ref="A1:D1"/>
    <mergeCell ref="A11:D11"/>
    <mergeCell ref="A12:D12"/>
    <mergeCell ref="A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Trials</vt:lpstr>
      <vt:lpstr>Route Catalog</vt:lpstr>
      <vt:lpstr>Issue Log</vt:lpstr>
      <vt:lpstr>Research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Cordova Rodriguez, Diego</cp:lastModifiedBy>
  <dcterms:created xsi:type="dcterms:W3CDTF">2026-09-30T02:46:13Z</dcterms:created>
  <dcterms:modified xsi:type="dcterms:W3CDTF">2026-09-30T22:42:48Z</dcterms:modified>
</cp:coreProperties>
</file>